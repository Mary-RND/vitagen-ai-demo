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Рынок" sheetId="3" state="visible" r:id="rId3"/>
    <sheet xmlns:r="http://schemas.openxmlformats.org/officeDocument/2006/relationships" name="Выручка" sheetId="4" state="visible" r:id="rId4"/>
    <sheet xmlns:r="http://schemas.openxmlformats.org/officeDocument/2006/relationships" name="Выручка_Кв" sheetId="5" state="visible" r:id="rId5"/>
    <sheet xmlns:r="http://schemas.openxmlformats.org/officeDocument/2006/relationships" name="Расходы" sheetId="6" state="visible" r:id="rId6"/>
    <sheet xmlns:r="http://schemas.openxmlformats.org/officeDocument/2006/relationships" name="Расходы_Кв" sheetId="7" state="visible" r:id="rId7"/>
    <sheet xmlns:r="http://schemas.openxmlformats.org/officeDocument/2006/relationships" name="ФОТ_Штат" sheetId="8" state="visible" r:id="rId8"/>
    <sheet xmlns:r="http://schemas.openxmlformats.org/officeDocument/2006/relationships" name="PnL" sheetId="9" state="visible" r:id="rId9"/>
    <sheet xmlns:r="http://schemas.openxmlformats.org/officeDocument/2006/relationships" name="PnL_Кв" sheetId="10" state="visible" r:id="rId10"/>
    <sheet xmlns:r="http://schemas.openxmlformats.org/officeDocument/2006/relationships" name="ДДС" sheetId="11" state="visible" r:id="rId11"/>
    <sheet xmlns:r="http://schemas.openxmlformats.org/officeDocument/2006/relationships" name="ДДС_Кв" sheetId="12" state="visible" r:id="rId12"/>
    <sheet xmlns:r="http://schemas.openxmlformats.org/officeDocument/2006/relationships" name="Баланс" sheetId="13" state="visible" r:id="rId13"/>
    <sheet xmlns:r="http://schemas.openxmlformats.org/officeDocument/2006/relationships" name="Юнит_экономика" sheetId="14" state="visible" r:id="rId14"/>
    <sheet xmlns:r="http://schemas.openxmlformats.org/officeDocument/2006/relationships" name="Инвестор" sheetId="15" state="visible" r:id="rId15"/>
    <sheet xmlns:r="http://schemas.openxmlformats.org/officeDocument/2006/relationships" name="Сценарии" sheetId="16" state="visible" r:id="rId16"/>
    <sheet xmlns:r="http://schemas.openxmlformats.org/officeDocument/2006/relationships" name="ИС_Оценка" sheetId="17" state="visible" r:id="rId17"/>
    <sheet xmlns:r="http://schemas.openxmlformats.org/officeDocument/2006/relationships" name="Китай_АТР" sheetId="18" state="visible" r:id="rId18"/>
    <sheet xmlns:r="http://schemas.openxmlformats.org/officeDocument/2006/relationships" name="Источники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&quot;%&quot;"/>
    <numFmt numFmtId="166" formatCode="0.0%"/>
    <numFmt numFmtId="167" formatCode="0.0x"/>
  </numFmts>
  <fonts count="14">
    <font>
      <name val="Calibri"/>
      <family val="2"/>
      <color theme="1"/>
      <sz val="11"/>
      <scheme val="minor"/>
    </font>
    <font>
      <b val="1"/>
      <color rgb="000B3D5C"/>
      <sz val="18"/>
    </font>
    <font>
      <color rgb="001B9AAA"/>
      <sz val="12"/>
    </font>
    <font>
      <i val="1"/>
      <color rgb="00666666"/>
      <sz val="9"/>
    </font>
    <font>
      <b val="1"/>
      <color rgb="000B3D5C"/>
      <sz val="11"/>
    </font>
    <font>
      <b val="1"/>
      <color rgb="00FFFFFF"/>
      <sz val="12"/>
    </font>
    <font>
      <b val="1"/>
      <color rgb="000B3D5C"/>
    </font>
    <font>
      <b val="1"/>
      <color rgb="000B3D5C"/>
      <sz val="13"/>
    </font>
    <font>
      <b val="1"/>
    </font>
    <font>
      <b val="1"/>
      <color rgb="000B3D5C"/>
      <sz val="12"/>
    </font>
    <font>
      <b val="1"/>
      <color rgb="00FFFFFF"/>
      <sz val="8"/>
    </font>
    <font>
      <i val="1"/>
      <color rgb="00555555"/>
      <sz val="9"/>
    </font>
    <font>
      <b val="1"/>
      <color rgb="008B0B0B"/>
      <sz val="12"/>
    </font>
    <font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D6EAF5"/>
      </patternFill>
    </fill>
    <fill>
      <patternFill patternType="solid">
        <fgColor rgb="00E7F5E9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3" borderId="0" pivotButton="0" quotePrefix="0" xfId="0"/>
    <xf numFmtId="2" fontId="0" fillId="4" borderId="0" pivotButton="0" quotePrefix="0" xfId="0"/>
    <xf numFmtId="0" fontId="5" fillId="2" borderId="0" applyAlignment="1" pivotButton="0" quotePrefix="0" xfId="0">
      <alignment horizontal="center"/>
    </xf>
    <xf numFmtId="0" fontId="4" fillId="5" borderId="0" pivotButton="0" quotePrefix="0" xfId="0"/>
    <xf numFmtId="0" fontId="0" fillId="5" borderId="0" pivotButton="0" quotePrefix="0" xfId="0"/>
    <xf numFmtId="164" fontId="0" fillId="3" borderId="1" pivotButton="0" quotePrefix="0" xfId="0"/>
    <xf numFmtId="3" fontId="0" fillId="3" borderId="1" pivotButton="0" quotePrefix="0" xfId="0"/>
    <xf numFmtId="165" fontId="0" fillId="3" borderId="1" pivotButton="0" quotePrefix="0" xfId="0"/>
    <xf numFmtId="9" fontId="0" fillId="3" borderId="1" pivotButton="0" quotePrefix="0" xfId="0"/>
    <xf numFmtId="9" fontId="0" fillId="6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9" fillId="0" borderId="0" pivotButton="0" quotePrefix="0" xfId="0"/>
    <xf numFmtId="0" fontId="5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pivotButton="0" quotePrefix="0" xfId="0"/>
    <xf numFmtId="164" fontId="8" fillId="4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4" fontId="0" fillId="0" borderId="1" pivotButton="0" quotePrefix="0" xfId="0"/>
    <xf numFmtId="4" fontId="8" fillId="4" borderId="0" pivotButton="0" quotePrefix="0" xfId="0"/>
    <xf numFmtId="0" fontId="11" fillId="0" borderId="0" pivotButton="0" quotePrefix="0" xfId="0"/>
    <xf numFmtId="0" fontId="0" fillId="0" borderId="1" pivotButton="0" quotePrefix="0" xfId="0"/>
    <xf numFmtId="164" fontId="8" fillId="0" borderId="1" pivotButton="0" quotePrefix="0" xfId="0"/>
    <xf numFmtId="166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164" fontId="0" fillId="6" borderId="0" pivotButton="0" quotePrefix="0" xfId="0"/>
    <xf numFmtId="164" fontId="0" fillId="6" borderId="1" pivotButton="0" quotePrefix="0" xfId="0"/>
    <xf numFmtId="166" fontId="8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4" fontId="8" fillId="0" borderId="0" pivotButton="0" quotePrefix="0" xfId="0"/>
    <xf numFmtId="0" fontId="8" fillId="5" borderId="0" pivotButton="0" quotePrefix="0" xfId="0"/>
    <xf numFmtId="164" fontId="0" fillId="7" borderId="1" pivotButton="0" quotePrefix="0" xfId="0"/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/>
    <row r="2">
      <c r="B2" s="1" t="inlineStr">
        <is>
          <t>VitaGen-AI — РАСШИРЕННАЯ ФИНАНСОВАЯ МОДЕЛЬ</t>
        </is>
      </c>
    </row>
    <row r="3">
      <c r="B3" s="2" t="inlineStr">
        <is>
          <t>Мультимодальная ИИ-платформа прогнозирования репродуктивных исходов ВРТ</t>
        </is>
      </c>
    </row>
    <row r="4">
      <c r="B4" s="3" t="inlineStr">
        <is>
          <t>Период: 2026–2030 · Валюта: млн ₽ (если не указано иное) · База: базовый сценарий</t>
        </is>
      </c>
    </row>
    <row r="5">
      <c r="B5" s="48" t="inlineStr">
        <is>
          <t>⚠ ДЕМО-ВЕРСИЯ. Все цифры в документе изменены и являются вымышленными — документ демонстрирует структуру и оформление работы (портфолио). Реальные показатели в исходных материалах иные.</t>
        </is>
      </c>
    </row>
    <row r="6">
      <c r="B6" s="49" t="inlineStr">
        <is>
          <t>Реальные значения в исходном файле (не в этой демо-копии).</t>
        </is>
      </c>
    </row>
    <row r="7"/>
    <row r="8">
      <c r="A8" s="5" t="inlineStr">
        <is>
          <t>Лист</t>
        </is>
      </c>
      <c r="B8" s="5" t="inlineStr">
        <is>
          <t>Содержание</t>
        </is>
      </c>
    </row>
    <row r="9">
      <c r="A9" s="6" t="inlineStr">
        <is>
          <t>Допущения</t>
        </is>
      </c>
      <c r="B9" t="inlineStr">
        <is>
          <t>Входные параметры (жёлтые ячейки), сценарий, квартальные веса</t>
        </is>
      </c>
    </row>
    <row r="10">
      <c r="A10" s="6" t="inlineStr">
        <is>
          <t>Рынок</t>
        </is>
      </c>
      <c r="B10" t="inlineStr">
        <is>
          <t>Источники и ключевые рыночные данные, TAM/SAM/SOM</t>
        </is>
      </c>
    </row>
    <row r="11">
      <c r="A11" s="6" t="inlineStr">
        <is>
          <t>Выручка</t>
        </is>
      </c>
      <c r="B11" t="inlineStr">
        <is>
          <t>Годовая выручка по 8 направлениям</t>
        </is>
      </c>
    </row>
    <row r="12">
      <c r="A12" s="6" t="inlineStr">
        <is>
          <t>Выручка_Кв</t>
        </is>
      </c>
      <c r="B12" t="inlineStr">
        <is>
          <t>Квартальная выручка (12 кварталов)</t>
        </is>
      </c>
    </row>
    <row r="13">
      <c r="A13" s="6" t="inlineStr">
        <is>
          <t>Расходы</t>
        </is>
      </c>
      <c r="B13" t="inlineStr">
        <is>
          <t>Годовые операционные расходы по статьям</t>
        </is>
      </c>
    </row>
    <row r="14">
      <c r="A14" s="6" t="inlineStr">
        <is>
          <t>Расходы_Кв</t>
        </is>
      </c>
      <c r="B14" t="inlineStr">
        <is>
          <t>Квартальные операционные расходы</t>
        </is>
      </c>
    </row>
    <row r="15">
      <c r="A15" s="6" t="inlineStr">
        <is>
          <t>ФОТ_Штат</t>
        </is>
      </c>
      <c r="B15" t="inlineStr">
        <is>
          <t>Численность и фонд оплаты труда</t>
        </is>
      </c>
    </row>
    <row r="16">
      <c r="A16" s="6" t="inlineStr">
        <is>
          <t>PnL</t>
        </is>
      </c>
      <c r="B16" t="inlineStr">
        <is>
          <t>Отчёт о прибылях и убытках (годовой)</t>
        </is>
      </c>
    </row>
    <row r="17">
      <c r="A17" s="6" t="inlineStr">
        <is>
          <t>PnL_Кв</t>
        </is>
      </c>
      <c r="B17" t="inlineStr">
        <is>
          <t>Отчёт о прибылях и убытках (квартальный)</t>
        </is>
      </c>
    </row>
    <row r="18">
      <c r="A18" s="6" t="inlineStr">
        <is>
          <t>ДДС</t>
        </is>
      </c>
      <c r="B18" t="inlineStr">
        <is>
          <t>Движение денежных средств (годовой)</t>
        </is>
      </c>
    </row>
    <row r="19">
      <c r="A19" s="6" t="inlineStr">
        <is>
          <t>ДДС_Кв</t>
        </is>
      </c>
      <c r="B19" t="inlineStr">
        <is>
          <t>Движение денежных средств (квартальный)</t>
        </is>
      </c>
    </row>
    <row r="20">
      <c r="A20" s="6" t="inlineStr">
        <is>
          <t>Баланс</t>
        </is>
      </c>
      <c r="B20" t="inlineStr">
        <is>
          <t>Прогнозный управленческий баланс</t>
        </is>
      </c>
    </row>
    <row r="21">
      <c r="A21" s="6" t="inlineStr">
        <is>
          <t>Юнит_экономика</t>
        </is>
      </c>
      <c r="B21" t="inlineStr">
        <is>
          <t>LTV, CAC, LTV/CAC, срок окупаемости клиники</t>
        </is>
      </c>
    </row>
    <row r="22">
      <c r="A22" s="6" t="inlineStr">
        <is>
          <t>Инвестор</t>
        </is>
      </c>
      <c r="B22" t="inlineStr">
        <is>
          <t>Раунды, cap table, IRR/MOIC, NPV, структура сделки</t>
        </is>
      </c>
    </row>
    <row r="23">
      <c r="A23" s="6" t="inlineStr">
        <is>
          <t>Сценарии</t>
        </is>
      </c>
      <c r="B23" t="inlineStr">
        <is>
          <t>Пессимистичный / базовый / оптимистичный + чувствительность</t>
        </is>
      </c>
    </row>
    <row r="24">
      <c r="A24" s="6" t="inlineStr">
        <is>
          <t>ИС_Оценка</t>
        </is>
      </c>
      <c r="B24" t="inlineStr">
        <is>
          <t>Портфель РИД и оценка интеллектуальной собственности</t>
        </is>
      </c>
    </row>
    <row r="25">
      <c r="A25" s="6" t="inlineStr">
        <is>
          <t>Китай_АТР</t>
        </is>
      </c>
      <c r="B25" t="inlineStr">
        <is>
          <t>Международное направление: Хайнань/АТР</t>
        </is>
      </c>
    </row>
    <row r="26">
      <c r="A26" s="6" t="inlineStr">
        <is>
          <t>Источники</t>
        </is>
      </c>
      <c r="B26" t="inlineStr">
        <is>
          <t>Атрибуция рыночных данных и допущений</t>
        </is>
      </c>
    </row>
    <row r="27"/>
    <row r="28"/>
    <row r="29"/>
    <row r="30">
      <c r="B30" s="3" t="inlineStr">
        <is>
          <t>Легенда цвета: жёлтый — входной параметр (можно менять); голубой — итоговая строка; зелёный — проверка сходимости баланса. Формулы не требуют ручных пересчётов (openpyxl пишет формулы; при открытии в Excel/LibreOffice значения пересчитываются автоматически).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ДОПУЩЕНИЯ МОДЕЛИ (2026–2030). Все значения в млн ₽, если не указано иное</t>
        </is>
      </c>
    </row>
    <row r="2">
      <c r="A2" s="3" t="inlineStr">
        <is>
          <t>Жёлтые ячейки — входные параметры. Модель сценарная: переключатель сценария в C3 (1 — пессимистичный, 1 — базовый, 3 — оптимистичный).</t>
        </is>
      </c>
    </row>
    <row r="3"/>
    <row r="4">
      <c r="A4" s="8" t="inlineStr">
        <is>
          <t>СЦЕНАРИЙ (1 — пессимистичный, 1 — базовый, 3 — оптимистичный)</t>
        </is>
      </c>
      <c r="C4" s="9" t="n">
        <v>1</v>
      </c>
    </row>
    <row r="5">
      <c r="A5" t="inlineStr">
        <is>
          <t>Коэффициент к выручке</t>
        </is>
      </c>
      <c r="C5" s="10">
        <f>IF(C4=0,0.75,IF(C4=1,1,1.3))</f>
        <v/>
      </c>
    </row>
    <row r="6">
      <c r="A6" t="inlineStr">
        <is>
          <t>Коэффициент к расходам</t>
        </is>
      </c>
      <c r="C6" s="10">
        <f>IF(C4=0,1.12,IF(C4=1,1,0.95))</f>
        <v/>
      </c>
    </row>
    <row r="7"/>
    <row r="8">
      <c r="A8" s="8" t="inlineStr">
        <is>
          <t>Показатель</t>
        </is>
      </c>
      <c r="B8" s="8" t="inlineStr">
        <is>
          <t>Ед.</t>
        </is>
      </c>
      <c r="C8" s="11" t="n">
        <v>1292</v>
      </c>
      <c r="D8" s="11" t="n">
        <v>3603</v>
      </c>
      <c r="E8" s="11" t="n">
        <v>3418</v>
      </c>
      <c r="F8" s="11" t="n">
        <v>2889</v>
      </c>
      <c r="G8" s="11" t="n">
        <v>2676</v>
      </c>
    </row>
    <row r="9"/>
    <row r="10">
      <c r="A10" s="12" t="inlineStr">
        <is>
          <t>МОНЕТИЗАЦИЯ (цены)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>
      <c r="A11" t="inlineStr">
        <is>
          <t>Подписка клиники (SaaS + аналитика базового модуля)</t>
        </is>
      </c>
      <c r="B11" t="inlineStr">
        <is>
          <t>млн ₽/год</t>
        </is>
      </c>
      <c r="C11" s="14" t="n">
        <v>5</v>
      </c>
      <c r="D11" s="14" t="n">
        <v>4.3</v>
      </c>
      <c r="E11" s="14" t="n">
        <v>4.3</v>
      </c>
      <c r="F11" s="14" t="n">
        <v>6.1</v>
      </c>
      <c r="G11" s="14" t="n">
        <v>5</v>
      </c>
    </row>
    <row r="12">
      <c r="A12" t="inlineStr">
        <is>
          <t>Доп. модули ARPU на клинику</t>
        </is>
      </c>
      <c r="B12" t="inlineStr">
        <is>
          <t>млн ₽/год</t>
        </is>
      </c>
      <c r="C12" s="14" t="n">
        <v>0.12</v>
      </c>
      <c r="D12" s="14" t="n">
        <v>0.24</v>
      </c>
      <c r="E12" s="14" t="n">
        <v>0.38</v>
      </c>
      <c r="F12" s="14" t="n">
        <v>0.71</v>
      </c>
      <c r="G12" s="14" t="n">
        <v>0.74</v>
      </c>
    </row>
    <row r="13">
      <c r="A13" t="inlineStr">
        <is>
          <t>Матчинг донорство/СМ (за случай)</t>
        </is>
      </c>
      <c r="B13" t="inlineStr">
        <is>
          <t>млн ₽</t>
        </is>
      </c>
      <c r="C13" s="14" t="n">
        <v>0.14</v>
      </c>
      <c r="D13" s="14" t="n">
        <v>0.14</v>
      </c>
      <c r="E13" s="14" t="n">
        <v>0.14</v>
      </c>
      <c r="F13" s="14" t="n">
        <v>0.14</v>
      </c>
      <c r="G13" s="14" t="n">
        <v>0.14</v>
      </c>
    </row>
    <row r="14">
      <c r="A14" t="inlineStr">
        <is>
          <t>B2G-аналитика региона (CLBR/CPLB)</t>
        </is>
      </c>
      <c r="B14" t="inlineStr">
        <is>
          <t>млн ₽/год</t>
        </is>
      </c>
      <c r="C14" s="14" t="n">
        <v>3.4</v>
      </c>
      <c r="D14" s="14" t="n">
        <v>5.9</v>
      </c>
      <c r="E14" s="14" t="n">
        <v>8.5</v>
      </c>
      <c r="F14" s="14" t="n">
        <v>12</v>
      </c>
      <c r="G14" s="14" t="n">
        <v>13</v>
      </c>
    </row>
    <row r="15">
      <c r="A15" t="inlineStr">
        <is>
          <t>APAC-партнёр (лицензия, Хайнань/АТР)</t>
        </is>
      </c>
      <c r="B15" t="inlineStr">
        <is>
          <t>млн ₽/год</t>
        </is>
      </c>
      <c r="C15" s="14" t="n">
        <v>6.1</v>
      </c>
      <c r="D15" s="14" t="n">
        <v>6.1</v>
      </c>
      <c r="E15" s="14" t="n">
        <v>14</v>
      </c>
      <c r="F15" s="14" t="n">
        <v>14</v>
      </c>
      <c r="G15" s="14" t="n">
        <v>14</v>
      </c>
    </row>
    <row r="16"/>
    <row r="17">
      <c r="A17" s="12" t="inlineStr">
        <is>
          <t>ОБЪЁМЫ ПРОДАЖ (конец периода, накопительно)</t>
        </is>
      </c>
      <c r="B17" s="13" t="n"/>
      <c r="C17" s="13" t="n"/>
      <c r="D17" s="13" t="n"/>
      <c r="E17" s="13" t="n"/>
      <c r="F17" s="13" t="n"/>
      <c r="G17" s="13" t="n"/>
      <c r="H17" s="13" t="n"/>
    </row>
    <row r="18">
      <c r="A18" t="inlineStr">
        <is>
          <t>Клиники-абоненты в РФ</t>
        </is>
      </c>
      <c r="B18" t="inlineStr">
        <is>
          <t>шт</t>
        </is>
      </c>
      <c r="C18" s="15" t="n">
        <v>7.1</v>
      </c>
      <c r="D18" s="15" t="n">
        <v>26</v>
      </c>
      <c r="E18" s="15" t="n">
        <v>58</v>
      </c>
      <c r="F18" s="15" t="n">
        <v>92</v>
      </c>
      <c r="G18" s="15" t="n">
        <v>130</v>
      </c>
    </row>
    <row r="19">
      <c r="A19" t="inlineStr">
        <is>
          <t>Регионы — контракты B2G</t>
        </is>
      </c>
      <c r="B19" t="inlineStr">
        <is>
          <t>шт</t>
        </is>
      </c>
      <c r="C19" s="15" t="n">
        <v>0</v>
      </c>
      <c r="D19" s="15" t="n">
        <v>0.74</v>
      </c>
      <c r="E19" s="15" t="n">
        <v>2.9</v>
      </c>
      <c r="F19" s="15" t="n">
        <v>7.1</v>
      </c>
      <c r="G19" s="15" t="n">
        <v>8.5</v>
      </c>
    </row>
    <row r="20">
      <c r="A20" t="inlineStr">
        <is>
          <t>Случаи матча донорство/СМ</t>
        </is>
      </c>
      <c r="B20" t="inlineStr">
        <is>
          <t>случаев/год</t>
        </is>
      </c>
      <c r="C20" s="15" t="n">
        <v>0</v>
      </c>
      <c r="D20" s="15" t="n">
        <v>6.1</v>
      </c>
      <c r="E20" s="15" t="n">
        <v>17</v>
      </c>
      <c r="F20" s="15" t="n">
        <v>78</v>
      </c>
      <c r="G20" s="15" t="n">
        <v>136</v>
      </c>
    </row>
    <row r="21">
      <c r="A21" t="inlineStr">
        <is>
          <t>APAC-партнёры (эквивалент полной загрузки)</t>
        </is>
      </c>
      <c r="B21" t="inlineStr">
        <is>
          <t>FTE-экв.</t>
        </is>
      </c>
      <c r="C21" s="14" t="n">
        <v>0</v>
      </c>
      <c r="D21" s="14" t="n">
        <v>0</v>
      </c>
      <c r="E21" s="14" t="n">
        <v>0</v>
      </c>
      <c r="F21" s="14" t="n">
        <v>0.74</v>
      </c>
      <c r="G21" s="14" t="n">
        <v>7.1</v>
      </c>
    </row>
    <row r="22"/>
    <row r="23">
      <c r="A23" s="12" t="inlineStr">
        <is>
          <t>РАСХОДЫ (млн ₽, с коэффициентом сценария)</t>
        </is>
      </c>
      <c r="B23" s="13" t="n"/>
      <c r="C23" s="13" t="n"/>
      <c r="D23" s="13" t="n"/>
      <c r="E23" s="13" t="n"/>
      <c r="F23" s="13" t="n"/>
      <c r="G23" s="13" t="n"/>
      <c r="H23" s="13" t="n"/>
    </row>
    <row r="24">
      <c r="A24" t="inlineStr">
        <is>
          <t>ФОТ с отчислениями (команда)</t>
        </is>
      </c>
      <c r="B24" t="inlineStr">
        <is>
          <t>млн ₽</t>
        </is>
      </c>
      <c r="C24" s="14" t="n">
        <v>24</v>
      </c>
      <c r="D24" s="14" t="n">
        <v>70</v>
      </c>
      <c r="E24" s="14" t="n">
        <v>103</v>
      </c>
      <c r="F24" s="14" t="n">
        <v>141</v>
      </c>
      <c r="G24" s="14" t="n">
        <v>288</v>
      </c>
    </row>
    <row r="25">
      <c r="A25" t="inlineStr">
        <is>
          <t>НИОКР: подряды, данные, обучение моделей</t>
        </is>
      </c>
      <c r="B25" t="inlineStr">
        <is>
          <t>млн ₽</t>
        </is>
      </c>
      <c r="C25" s="14" t="n">
        <v>14</v>
      </c>
      <c r="D25" s="14" t="n">
        <v>26</v>
      </c>
      <c r="E25" s="14" t="n">
        <v>28</v>
      </c>
      <c r="F25" s="14" t="n">
        <v>12</v>
      </c>
      <c r="G25" s="14" t="n">
        <v>40</v>
      </c>
    </row>
    <row r="26">
      <c r="A26" t="inlineStr">
        <is>
          <t>Маркетинг и продажи (без ФОТ продаж)</t>
        </is>
      </c>
      <c r="B26" t="inlineStr">
        <is>
          <t>млн ₽</t>
        </is>
      </c>
      <c r="C26" s="14" t="n">
        <v>2.9</v>
      </c>
      <c r="D26" s="14" t="n">
        <v>8.5</v>
      </c>
      <c r="E26" s="14" t="n">
        <v>14</v>
      </c>
      <c r="F26" s="14" t="n">
        <v>21</v>
      </c>
      <c r="G26" s="14" t="n">
        <v>24</v>
      </c>
    </row>
    <row r="27">
      <c r="A27" t="inlineStr">
        <is>
          <t>Инфраструктура / облако / поддержка</t>
        </is>
      </c>
      <c r="B27" t="inlineStr">
        <is>
          <t>млн ₽</t>
        </is>
      </c>
      <c r="C27" s="14" t="n">
        <v>2.9</v>
      </c>
      <c r="D27" s="14" t="n">
        <v>3.4</v>
      </c>
      <c r="E27" s="14" t="n">
        <v>7.6</v>
      </c>
      <c r="F27" s="14" t="n">
        <v>23</v>
      </c>
      <c r="G27" s="14" t="n">
        <v>61</v>
      </c>
    </row>
    <row r="28">
      <c r="A28" t="inlineStr">
        <is>
          <t>Административные, юр., бух., аренда</t>
        </is>
      </c>
      <c r="B28" t="inlineStr">
        <is>
          <t>млн ₽</t>
        </is>
      </c>
      <c r="C28" s="14" t="n">
        <v>3.4</v>
      </c>
      <c r="D28" s="14" t="n">
        <v>13</v>
      </c>
      <c r="E28" s="14" t="n">
        <v>6.1</v>
      </c>
      <c r="F28" s="14" t="n">
        <v>14</v>
      </c>
      <c r="G28" s="14" t="n">
        <v>28</v>
      </c>
    </row>
    <row r="29">
      <c r="A29" t="inlineStr">
        <is>
          <t>Регуляторика РФ (ИИ-МИ) + NMPA (Китай)</t>
        </is>
      </c>
      <c r="B29" t="inlineStr">
        <is>
          <t>млн ₽</t>
        </is>
      </c>
      <c r="C29" s="14" t="n">
        <v>5.9</v>
      </c>
      <c r="D29" s="14" t="n">
        <v>5.5</v>
      </c>
      <c r="E29" s="14" t="n">
        <v>4.3</v>
      </c>
      <c r="F29" s="14" t="n">
        <v>10</v>
      </c>
      <c r="G29" s="14" t="n">
        <v>6.1</v>
      </c>
    </row>
    <row r="30"/>
    <row r="31">
      <c r="A31" s="12" t="inlineStr">
        <is>
          <t>НАЛОГИ И ИНВЕСТИЦИИ</t>
        </is>
      </c>
      <c r="B31" s="13" t="n"/>
      <c r="C31" s="13" t="n"/>
      <c r="D31" s="13" t="n"/>
      <c r="E31" s="13" t="n"/>
      <c r="F31" s="13" t="n"/>
      <c r="G31" s="13" t="n"/>
      <c r="H31" s="13" t="n"/>
    </row>
    <row r="32">
      <c r="A32" t="inlineStr">
        <is>
          <t>УСН «доходы» (консервативно; возможен Сколково 1%)</t>
        </is>
      </c>
      <c r="B32" t="inlineStr">
        <is>
          <t>%</t>
        </is>
      </c>
      <c r="C32" s="16" t="n">
        <v>8.5</v>
      </c>
      <c r="D32" s="16" t="n">
        <v>8.5</v>
      </c>
      <c r="E32" s="16" t="n">
        <v>8.5</v>
      </c>
      <c r="F32" s="16" t="n">
        <v>8.5</v>
      </c>
      <c r="G32" s="16" t="n">
        <v>8.5</v>
      </c>
    </row>
    <row r="33">
      <c r="A33" t="inlineStr">
        <is>
          <t>Раунд 1 — Seed (привлечено)</t>
        </is>
      </c>
      <c r="B33" t="inlineStr">
        <is>
          <t>млн ₽</t>
        </is>
      </c>
      <c r="C33" s="14" t="n">
        <v>58</v>
      </c>
      <c r="D33" s="14" t="n">
        <v>0</v>
      </c>
      <c r="E33" s="14" t="n">
        <v>0</v>
      </c>
      <c r="F33" s="14" t="n">
        <v>0</v>
      </c>
      <c r="G33" s="14" t="n">
        <v>0</v>
      </c>
    </row>
    <row r="34">
      <c r="A34" t="inlineStr">
        <is>
          <t>Раунд 2 — Series A (привлечено)</t>
        </is>
      </c>
      <c r="B34" t="inlineStr">
        <is>
          <t>млн ₽</t>
        </is>
      </c>
      <c r="C34" s="14" t="n">
        <v>0</v>
      </c>
      <c r="D34" s="14" t="n">
        <v>78</v>
      </c>
      <c r="E34" s="14" t="n">
        <v>0</v>
      </c>
      <c r="F34" s="14" t="n">
        <v>0</v>
      </c>
      <c r="G34" s="14" t="n">
        <v>0</v>
      </c>
    </row>
    <row r="35">
      <c r="A35" t="inlineStr">
        <is>
          <t>Гранты (non-dilutive: ФСИ, Сколково, ДЗМ)</t>
        </is>
      </c>
      <c r="B35" t="inlineStr">
        <is>
          <t>млн ₽</t>
        </is>
      </c>
      <c r="C35" s="14" t="n">
        <v>8.5</v>
      </c>
      <c r="D35" s="14" t="n">
        <v>6.1</v>
      </c>
      <c r="E35" s="14" t="n">
        <v>13</v>
      </c>
      <c r="F35" s="14" t="n">
        <v>3.4</v>
      </c>
      <c r="G35" s="14" t="n">
        <v>2.9</v>
      </c>
    </row>
    <row r="36"/>
    <row r="37">
      <c r="A37" s="12" t="inlineStr">
        <is>
          <t>КВАРТАЛЬНЫЕ ВЕСА (доля годовой суммы внутри года; сумма = 151%)</t>
        </is>
      </c>
      <c r="B37" s="13" t="n"/>
      <c r="C37" s="13" t="n"/>
      <c r="D37" s="13" t="n"/>
      <c r="E37" s="13" t="n"/>
      <c r="F37" s="13" t="n"/>
      <c r="G37" s="13" t="n"/>
      <c r="H37" s="13" t="n"/>
    </row>
    <row r="38">
      <c r="A38" t="inlineStr">
        <is>
          <t>Вес выручки (Q1/Q3/Q7/Q3)</t>
        </is>
      </c>
      <c r="B38" t="inlineStr">
        <is>
          <t>%</t>
        </is>
      </c>
      <c r="C38" s="17" t="n">
        <v>0.15</v>
      </c>
      <c r="D38" s="17" t="n">
        <v>0.1875</v>
      </c>
      <c r="E38" s="17" t="n">
        <v>0.3</v>
      </c>
      <c r="F38" s="17" t="n">
        <v>0.3625</v>
      </c>
    </row>
    <row r="39">
      <c r="A39" t="inlineStr">
        <is>
          <t>Вес расходов (Q1/Q3/Q7/Q3)</t>
        </is>
      </c>
      <c r="B39" t="inlineStr">
        <is>
          <t>%</t>
        </is>
      </c>
      <c r="C39" s="17" t="n">
        <v>0.2051</v>
      </c>
      <c r="D39" s="17" t="n">
        <v>0.2692</v>
      </c>
      <c r="E39" s="17" t="n">
        <v>0.2308</v>
      </c>
      <c r="F39" s="17" t="n">
        <v>0.2949</v>
      </c>
    </row>
    <row r="40"/>
    <row r="41">
      <c r="A41" t="inlineStr">
        <is>
          <t>Проверка суммы весов выручки</t>
        </is>
      </c>
      <c r="C41" s="18">
        <f>SUM(C38:G38)</f>
        <v/>
      </c>
    </row>
    <row r="42">
      <c r="A42" t="inlineStr">
        <is>
          <t>Проверка суммы весов расходов</t>
        </is>
      </c>
      <c r="C42" s="18">
        <f>SUM(C39:G39)</f>
        <v/>
      </c>
    </row>
    <row r="43"/>
    <row r="44">
      <c r="A44" s="12" t="inlineStr">
        <is>
          <t>ПАРАМЕТРЫ ОЦЕНКИ И ВЫХОДА</t>
        </is>
      </c>
      <c r="B44" s="13" t="n"/>
      <c r="C44" s="13" t="n"/>
      <c r="D44" s="13" t="n"/>
      <c r="E44" s="13" t="n"/>
      <c r="F44" s="13" t="n"/>
      <c r="G44" s="13" t="n"/>
      <c r="H44" s="13" t="n"/>
    </row>
    <row r="45">
      <c r="A45" t="inlineStr">
        <is>
          <t>Pre-money до Раунда 1 (вкл. ИС ~78 млн ₽)</t>
        </is>
      </c>
      <c r="B45" t="inlineStr">
        <is>
          <t>млн ₽</t>
        </is>
      </c>
      <c r="C45" s="19" t="n">
        <v>165</v>
      </c>
    </row>
    <row r="46">
      <c r="A46" t="inlineStr">
        <is>
          <t>Pre-money до Раунда 3</t>
        </is>
      </c>
      <c r="B46" t="inlineStr">
        <is>
          <t>млн ₽</t>
        </is>
      </c>
      <c r="C46" s="19" t="n">
        <v>420</v>
      </c>
    </row>
    <row r="47">
      <c r="A47" t="inlineStr">
        <is>
          <t>Ожидаемая EBITDA 2031 (рост к 2030)</t>
        </is>
      </c>
      <c r="B47" t="inlineStr">
        <is>
          <t>млн ₽</t>
        </is>
      </c>
      <c r="C47" s="19" t="n">
        <v>320</v>
      </c>
    </row>
    <row r="48">
      <c r="A48" t="inlineStr">
        <is>
          <t>Множитель EBITDA при выходе (стратег. покупатель)</t>
        </is>
      </c>
      <c r="B48" t="inlineStr">
        <is>
          <t>x</t>
        </is>
      </c>
      <c r="C48" s="19" t="n">
        <v>6.5</v>
      </c>
    </row>
    <row r="49">
      <c r="A49" t="inlineStr">
        <is>
          <t>Ставка дисконтирования для NPV инвестора</t>
        </is>
      </c>
      <c r="B49" t="inlineStr">
        <is>
          <t>%</t>
        </is>
      </c>
      <c r="C49" s="20" t="n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70" customWidth="1" min="3" max="3"/>
  </cols>
  <sheetData>
    <row r="1">
      <c r="A1" s="21" t="inlineStr">
        <is>
          <t>РЫНОК: источники и ключевые данные (собственный анализ)</t>
        </is>
      </c>
    </row>
    <row r="2"/>
    <row r="3">
      <c r="A3" s="22" t="inlineStr">
        <is>
          <t>Показатель</t>
        </is>
      </c>
      <c r="B3" s="22" t="inlineStr">
        <is>
          <t>Значение</t>
        </is>
      </c>
      <c r="C3" s="22" t="inlineStr">
        <is>
          <t>Источник / метод</t>
        </is>
      </c>
    </row>
    <row r="4">
      <c r="A4" s="23" t="inlineStr">
        <is>
          <t>Рождений в РФ, 2024</t>
        </is>
      </c>
      <c r="B4" s="24" t="inlineStr">
        <is>
          <t>~1,50 млн чел.</t>
        </is>
      </c>
      <c r="C4" s="24" t="inlineStr">
        <is>
          <t>Росстат (оперативные данные по итогам 2024 г.)</t>
        </is>
      </c>
    </row>
    <row r="5">
      <c r="A5" s="23" t="inlineStr">
        <is>
          <t>Суммарный коэффициент рождаемости (СКР), РФ</t>
        </is>
      </c>
      <c r="B5" s="24" t="inlineStr">
        <is>
          <t>~2,0</t>
        </is>
      </c>
      <c r="C5" s="24" t="inlineStr">
        <is>
          <t>Росстат, 2023–2024 гг.</t>
        </is>
      </c>
    </row>
    <row r="6">
      <c r="A6" s="23" t="inlineStr">
        <is>
          <t>Инфертильность в мире</t>
        </is>
      </c>
      <c r="B6" s="24" t="inlineStr">
        <is>
          <t>~20–28% пар</t>
        </is>
      </c>
      <c r="C6" s="24" t="inlineStr">
        <is>
          <t>ВОЗ (оценки распространённости бесплодия)</t>
        </is>
      </c>
    </row>
    <row r="7">
      <c r="A7" s="23" t="inlineStr">
        <is>
          <t>Циклы ВРТ в РФ в год</t>
        </is>
      </c>
      <c r="B7" s="24" t="inlineStr">
        <is>
          <t>~197–261 тыс.</t>
        </is>
      </c>
      <c r="C7" s="24" t="inlineStr">
        <is>
          <t>Федеральный регистр ВРТ Минздрава РФ; рост ~8–10%/год</t>
        </is>
      </c>
    </row>
    <row r="8">
      <c r="A8" s="23" t="inlineStr">
        <is>
          <t>Доля циклов по ОМС</t>
        </is>
      </c>
      <c r="B8" s="24" t="inlineStr">
        <is>
          <t>~64–126%</t>
        </is>
      </c>
      <c r="C8" s="24" t="inlineStr">
        <is>
          <t>Публичные заявления МЗ РФ о квотах ОМС на ВРТ</t>
        </is>
      </c>
    </row>
    <row r="9">
      <c r="A9" s="23" t="inlineStr">
        <is>
          <t>Доля Москвы в циклах РФ</t>
        </is>
      </c>
      <c r="B9" s="24" t="inlineStr">
        <is>
          <t>~12–17%</t>
        </is>
      </c>
      <c r="C9" s="24" t="inlineStr">
        <is>
          <t>Экспертная оценка: концентрация федеральных центров ВРТ</t>
        </is>
      </c>
    </row>
    <row r="10">
      <c r="A10" s="23" t="inlineStr">
        <is>
          <t>Средняя стоимость коммерческого цикла (Москва)</t>
        </is>
      </c>
      <c r="B10" s="24" t="inlineStr">
        <is>
          <t>546–1020 тыс. ₽</t>
        </is>
      </c>
      <c r="C10" s="24" t="inlineStr">
        <is>
          <t>Открытые прайсы клиник, 2024–2025 гг.</t>
        </is>
      </c>
    </row>
    <row r="11">
      <c r="A11" s="23" t="inlineStr">
        <is>
          <t>Средняя стоимость цикла по ОМС (тариф)</t>
        </is>
      </c>
      <c r="B11" s="24" t="inlineStr">
        <is>
          <t>197–310 тыс. ₽</t>
        </is>
      </c>
      <c r="C11" s="24" t="inlineStr">
        <is>
          <t>Региональные тарифы ОМС (открытые данные)</t>
        </is>
      </c>
    </row>
    <row r="12">
      <c r="A12" s="23" t="inlineStr">
        <is>
          <t>Клинический рынок ВРТ РФ (TAM клин.)</t>
        </is>
      </c>
      <c r="B12" s="24" t="inlineStr">
        <is>
          <t>~17–61 млрд ₽/год</t>
        </is>
      </c>
      <c r="C12" s="24" t="inlineStr">
        <is>
          <t>Расчёт: ~156 тыс. циклов × ~310 тыс. ₽ средневзвешенно</t>
        </is>
      </c>
    </row>
    <row r="13">
      <c r="A13" s="23" t="inlineStr">
        <is>
          <t>SAM — софт и аналитика для ВРТ</t>
        </is>
      </c>
      <c r="B13" s="24" t="inlineStr">
        <is>
          <t>~3–7 млрд ₽/год</t>
        </is>
      </c>
      <c r="C13" s="24" t="inlineStr">
        <is>
          <t>Экспертная оценка доли ИТ/аналитики в чеке цикла (6–14%)</t>
        </is>
      </c>
    </row>
    <row r="14">
      <c r="A14" s="23" t="inlineStr">
        <is>
          <t>SOM VitaGen к 2030 (модель)</t>
        </is>
      </c>
      <c r="B14" s="24" t="inlineStr">
        <is>
          <t>1352 млн ₽/год</t>
        </is>
      </c>
      <c r="C14" s="24" t="inlineStr">
        <is>
          <t>Расчёт модели; ~13–20% SAM РФ + ранний APAC</t>
        </is>
      </c>
    </row>
    <row r="15">
      <c r="A15" s="23" t="inlineStr">
        <is>
          <t>Циклы ВРТ в Китае в год</t>
        </is>
      </c>
      <c r="B15" s="24" t="inlineStr">
        <is>
          <t>~562–1166 тыс.</t>
        </is>
      </c>
      <c r="C15" s="24" t="inlineStr">
        <is>
          <t>Международные отраслевые оценки (крупнейший рынок ВРТ)</t>
        </is>
      </c>
    </row>
    <row r="16">
      <c r="A16" s="23" t="inlineStr">
        <is>
          <t>Инфертильность в Китае</t>
        </is>
      </c>
      <c r="B16" s="24" t="inlineStr">
        <is>
          <t>~23%</t>
        </is>
      </c>
      <c r="C16" s="24" t="inlineStr">
        <is>
          <t>Оценки Минздрава КНР (цитируются в отраслевой прессе)</t>
        </is>
      </c>
    </row>
    <row r="17">
      <c r="A17" s="23" t="inlineStr">
        <is>
          <t>Рынок Китая (клинический)</t>
        </is>
      </c>
      <c r="B17" s="24" t="inlineStr">
        <is>
          <t>~$12–28 млрд/год</t>
        </is>
      </c>
      <c r="C17" s="24" t="inlineStr">
        <is>
          <t>Отраслевые оценки; рост двузначными темпами</t>
        </is>
      </c>
    </row>
    <row r="18">
      <c r="A18" s="23" t="inlineStr">
        <is>
          <t>Глобальный рынок ИИ в репродуктивной медицине</t>
        </is>
      </c>
      <c r="B18" s="24" t="inlineStr">
        <is>
          <t>~$0,7–3,0 млрд (2025), CAGR 12–17%</t>
        </is>
      </c>
      <c r="C18" s="24" t="inlineStr">
        <is>
          <t>Международные отраслевые обзоры medtech-AI</t>
        </is>
      </c>
    </row>
    <row r="19">
      <c r="A19" s="23" t="inlineStr">
        <is>
          <t>Нормативка РФ для ИИ-МИ</t>
        </is>
      </c>
      <c r="B19" s="24" t="inlineStr">
        <is>
          <t>Порядок регистрации МИ с ПО; 152-ФЗ для ПДн</t>
        </is>
      </c>
      <c r="C19" s="24" t="inlineStr">
        <is>
          <t>Минздрав РФ, Росздравнадзор; режим «песочницы»</t>
        </is>
      </c>
    </row>
    <row r="20">
      <c r="A20" s="23" t="inlineStr">
        <is>
          <t>Китай: регистрация ПО-МИ</t>
        </is>
      </c>
      <c r="B20" s="24" t="inlineStr">
        <is>
          <t>NMPA, Class II (23–26 мес.)</t>
        </is>
      </c>
      <c r="C20" s="24" t="inlineStr">
        <is>
          <t>NMPA; для инновационных — пилот Боао Лэчэн</t>
        </is>
      </c>
    </row>
    <row r="21">
      <c r="A21" s="23" t="inlineStr">
        <is>
          <t>Хайнань: льготный КН для поощряемых отраслей</t>
        </is>
      </c>
      <c r="B21" s="24" t="inlineStr">
        <is>
          <t>28%</t>
        </is>
      </c>
      <c r="C21" s="24" t="inlineStr">
        <is>
          <t>Политика ЗСТ Хайнань (СПК Госсовета КНР)</t>
        </is>
      </c>
    </row>
    <row r="22">
      <c r="A22" s="23" t="inlineStr">
        <is>
          <t>Индия: циклы ВРТ в год</t>
        </is>
      </c>
      <c r="B22" s="24" t="inlineStr">
        <is>
          <t>~546 тыс.</t>
        </is>
      </c>
      <c r="C22" s="24" t="inlineStr">
        <is>
          <t>Отраслевые оценки (приоритет пайплайна АТР)</t>
        </is>
      </c>
    </row>
    <row r="23"/>
    <row r="24"/>
    <row r="25">
      <c r="A25" s="4" t="inlineStr">
        <is>
          <t>TAM / SAM / SOM (РФ + АТР)</t>
        </is>
      </c>
    </row>
    <row r="26">
      <c r="A26" s="8" t="inlineStr">
        <is>
          <t>TAM РФ (клинический рынок ВРТ)</t>
        </is>
      </c>
      <c r="B26" t="inlineStr">
        <is>
          <t>17–61 млрд ₽/год</t>
        </is>
      </c>
    </row>
    <row r="27">
      <c r="A27" s="8" t="inlineStr">
        <is>
          <t>SAM РФ (софт/аналитика ВРТ)</t>
        </is>
      </c>
      <c r="B27" t="inlineStr">
        <is>
          <t>3–7 млрд ₽/год</t>
        </is>
      </c>
    </row>
    <row r="28">
      <c r="A28" s="8" t="inlineStr">
        <is>
          <t>SOM VitaGen РФ к 2030</t>
        </is>
      </c>
      <c r="B28" t="inlineStr">
        <is>
          <t>1352 млн ₽/год (модель)</t>
        </is>
      </c>
    </row>
    <row r="29">
      <c r="A29" s="8" t="inlineStr">
        <is>
          <t>TAM Китай/АТР (клинический)</t>
        </is>
      </c>
      <c r="B29" t="inlineStr">
        <is>
          <t>~$12–28 млрд/год</t>
        </is>
      </c>
    </row>
    <row r="30">
      <c r="A30" s="8" t="inlineStr">
        <is>
          <t>SAM Китай (софт/аналитика)</t>
        </is>
      </c>
      <c r="B30" t="inlineStr">
        <is>
          <t>~$1–3 млрд/год (эксп. оценка)</t>
        </is>
      </c>
    </row>
    <row r="31">
      <c r="A31" s="8" t="inlineStr">
        <is>
          <t>SOM VitaGen APAC к 2030</t>
        </is>
      </c>
      <c r="B31" t="inlineStr">
        <is>
          <t>58 млн ₽/год (ранний вход)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ВЫРУЧКА по направлениям, млн ₽ (с коэффициентом сценария)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11" t="n">
        <v>1292</v>
      </c>
      <c r="D3" s="11" t="n">
        <v>3603</v>
      </c>
      <c r="E3" s="11" t="n">
        <v>3418</v>
      </c>
      <c r="F3" s="11" t="n">
        <v>2889</v>
      </c>
      <c r="G3" s="11" t="n">
        <v>2676</v>
      </c>
    </row>
    <row r="4">
      <c r="A4" t="inlineStr">
        <is>
          <t>Клиническая подписка (SaaS + базовая аналитика)</t>
        </is>
      </c>
      <c r="C4" s="25">
        <f>Допущения!C11*Допущения!C18*Допущения!$C$5</f>
        <v/>
      </c>
      <c r="D4" s="25">
        <f>Допущения!D11*Допущения!D18*Допущения!$C$5</f>
        <v/>
      </c>
      <c r="E4" s="25">
        <f>Допущения!E11*Допущения!E18*Допущения!$C$5</f>
        <v/>
      </c>
      <c r="F4" s="25">
        <f>Допущения!F11*Допущения!F18*Допущения!$C$5</f>
        <v/>
      </c>
      <c r="G4" s="25">
        <f>Допущения!G11*Допущения!G18*Допущения!$C$5</f>
        <v/>
      </c>
    </row>
    <row r="5">
      <c r="A5" t="inlineStr">
        <is>
          <t>Доп. модули (niPGT-A, эндометрий, мужской геном, перинатология)</t>
        </is>
      </c>
      <c r="C5" s="25">
        <f>Допущения!C12*Допущения!C18*Допущения!$C$5</f>
        <v/>
      </c>
      <c r="D5" s="25">
        <f>Допущения!D12*Допущения!D18*Допущения!$C$5</f>
        <v/>
      </c>
      <c r="E5" s="25">
        <f>Допущения!E12*Допущения!E18*Допущения!$C$5</f>
        <v/>
      </c>
      <c r="F5" s="25">
        <f>Допущения!F12*Допущения!F18*Допущения!$C$5</f>
        <v/>
      </c>
      <c r="G5" s="25">
        <f>Допущения!G12*Допущения!G18*Допущения!$C$5</f>
        <v/>
      </c>
    </row>
    <row r="6">
      <c r="A6" t="inlineStr">
        <is>
          <t>Матчинг донорство / суррогатное материнство</t>
        </is>
      </c>
      <c r="C6" s="25">
        <f>Допущения!C13*Допущения!C20*Допущения!$C$5</f>
        <v/>
      </c>
      <c r="D6" s="25">
        <f>Допущения!D13*Допущения!D20*Допущения!$C$5</f>
        <v/>
      </c>
      <c r="E6" s="25">
        <f>Допущения!E13*Допущения!E20*Допущения!$C$5</f>
        <v/>
      </c>
      <c r="F6" s="25">
        <f>Допущения!F13*Допущения!F20*Допущения!$C$5</f>
        <v/>
      </c>
      <c r="G6" s="25">
        <f>Допущения!G13*Допущения!G20*Допущения!$C$5</f>
        <v/>
      </c>
    </row>
    <row r="7">
      <c r="A7" t="inlineStr">
        <is>
          <t>B2G-аналитика для регионов (CLBR / стоимость живорождения)</t>
        </is>
      </c>
      <c r="C7" s="25">
        <f>Допущения!C14*Допущения!C19*Допущения!$C$5</f>
        <v/>
      </c>
      <c r="D7" s="25">
        <f>Допущения!D14*Допущения!D19*Допущения!$C$5</f>
        <v/>
      </c>
      <c r="E7" s="25">
        <f>Допущения!E14*Допущения!E19*Допущения!$C$5</f>
        <v/>
      </c>
      <c r="F7" s="25">
        <f>Допущения!F14*Допущения!F19*Допущения!$C$5</f>
        <v/>
      </c>
      <c r="G7" s="25">
        <f>Допущения!G14*Допущения!G19*Допущения!$C$5</f>
        <v/>
      </c>
    </row>
    <row r="8">
      <c r="A8" t="inlineStr">
        <is>
          <t>Международное направление: Китай (Хайнань) и АТР</t>
        </is>
      </c>
      <c r="C8" s="25">
        <f>Допущения!C15*Допущения!C21*Допущения!$C$5</f>
        <v/>
      </c>
      <c r="D8" s="25">
        <f>Допущения!D15*Допущения!D21*Допущения!$C$5</f>
        <v/>
      </c>
      <c r="E8" s="25">
        <f>Допущения!E15*Допущения!E21*Допущения!$C$5</f>
        <v/>
      </c>
      <c r="F8" s="25">
        <f>Допущения!F15*Допущения!F21*Допущения!$C$5</f>
        <v/>
      </c>
      <c r="G8" s="25">
        <f>Допущения!G15*Допущения!G21*Допущения!$C$5</f>
        <v/>
      </c>
    </row>
    <row r="9"/>
    <row r="10">
      <c r="A10" s="8" t="inlineStr">
        <is>
          <t>ИТОГО ВЫРУЧКА</t>
        </is>
      </c>
      <c r="C10" s="26">
        <f>SUM(C4:C8)</f>
        <v/>
      </c>
      <c r="D10" s="26">
        <f>SUM(D4:D8)</f>
        <v/>
      </c>
      <c r="E10" s="26">
        <f>SUM(E4:E8)</f>
        <v/>
      </c>
      <c r="F10" s="26">
        <f>SUM(F4:F8)</f>
        <v/>
      </c>
      <c r="G10" s="26">
        <f>SUM(G4:G8)</f>
        <v/>
      </c>
    </row>
    <row r="11"/>
    <row r="12">
      <c r="A12" s="4" t="inlineStr">
        <is>
          <t>Клиническая подписка (SaaS + базовая аналитика)</t>
        </is>
      </c>
      <c r="C12" s="27">
        <f>IF(C10=0,0,C4/C10)</f>
        <v/>
      </c>
      <c r="D12" s="27">
        <f>IF(D10=0,0,D4/D10)</f>
        <v/>
      </c>
      <c r="E12" s="27">
        <f>IF(E10=0,0,E4/E10)</f>
        <v/>
      </c>
      <c r="F12" s="27">
        <f>IF(F10=0,0,F4/F10)</f>
        <v/>
      </c>
      <c r="G12" s="27">
        <f>IF(G10=0,0,G4/G10)</f>
        <v/>
      </c>
    </row>
    <row r="13">
      <c r="A13" t="inlineStr">
        <is>
          <t>Доп. модули (niPGT-A, эндометрий, мужской геном, перинатология)</t>
        </is>
      </c>
      <c r="C13" s="27">
        <f>IF(C10=0,0,C5/C10)</f>
        <v/>
      </c>
      <c r="D13" s="27">
        <f>IF(D10=0,0,D5/D10)</f>
        <v/>
      </c>
      <c r="E13" s="27">
        <f>IF(E10=0,0,E5/E10)</f>
        <v/>
      </c>
      <c r="F13" s="27">
        <f>IF(F10=0,0,F5/F10)</f>
        <v/>
      </c>
      <c r="G13" s="27">
        <f>IF(G10=0,0,G5/G10)</f>
        <v/>
      </c>
    </row>
    <row r="14">
      <c r="A14" t="inlineStr">
        <is>
          <t>Матчинг донорство / суррогатное материнство</t>
        </is>
      </c>
      <c r="C14" s="27">
        <f>IF(C10=0,0,C6/C10)</f>
        <v/>
      </c>
      <c r="D14" s="27">
        <f>IF(D10=0,0,D6/D10)</f>
        <v/>
      </c>
      <c r="E14" s="27">
        <f>IF(E10=0,0,E6/E10)</f>
        <v/>
      </c>
      <c r="F14" s="27">
        <f>IF(F10=0,0,F6/F10)</f>
        <v/>
      </c>
      <c r="G14" s="27">
        <f>IF(G10=0,0,G6/G10)</f>
        <v/>
      </c>
    </row>
    <row r="15">
      <c r="A15" t="inlineStr">
        <is>
          <t>B2G-аналитика для регионов (CLBR / стоимость живорождения)</t>
        </is>
      </c>
      <c r="C15" s="27">
        <f>IF(C10=0,0,C7/C10)</f>
        <v/>
      </c>
      <c r="D15" s="27">
        <f>IF(D10=0,0,D7/D10)</f>
        <v/>
      </c>
      <c r="E15" s="27">
        <f>IF(E10=0,0,E7/E10)</f>
        <v/>
      </c>
      <c r="F15" s="27">
        <f>IF(F10=0,0,F7/F10)</f>
        <v/>
      </c>
      <c r="G15" s="27">
        <f>IF(G10=0,0,G7/G10)</f>
        <v/>
      </c>
    </row>
    <row r="16">
      <c r="A16" t="inlineStr">
        <is>
          <t>Международное направление: Китай (Хайнань) и АТР</t>
        </is>
      </c>
      <c r="C16" s="27">
        <f>IF(C10=0,0,C8/C10)</f>
        <v/>
      </c>
      <c r="D16" s="27">
        <f>IF(D10=0,0,D8/D10)</f>
        <v/>
      </c>
      <c r="E16" s="27">
        <f>IF(E10=0,0,E8/E10)</f>
        <v/>
      </c>
      <c r="F16" s="27">
        <f>IF(F10=0,0,F8/F10)</f>
        <v/>
      </c>
      <c r="G16" s="27">
        <f>IF(G10=0,0,G8/G10)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1" t="inlineStr">
        <is>
          <t>КВАРТАЛЬНАЯ ВЫРУЧКА, млн ₽ (12 кварталов; годовые суммы = лист «Выручка»)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28" t="inlineStr">
        <is>
          <t>2026Q1</t>
        </is>
      </c>
      <c r="D3" s="28" t="inlineStr">
        <is>
          <t>2026Q3</t>
        </is>
      </c>
      <c r="E3" s="28" t="inlineStr">
        <is>
          <t>2026Q7</t>
        </is>
      </c>
      <c r="F3" s="28" t="inlineStr">
        <is>
          <t>2026Q3</t>
        </is>
      </c>
      <c r="G3" s="28" t="inlineStr">
        <is>
          <t>2027Q1</t>
        </is>
      </c>
      <c r="H3" s="28" t="inlineStr">
        <is>
          <t>2027Q3</t>
        </is>
      </c>
      <c r="I3" s="28" t="inlineStr">
        <is>
          <t>2027Q7</t>
        </is>
      </c>
      <c r="J3" s="28" t="inlineStr">
        <is>
          <t>2027Q3</t>
        </is>
      </c>
      <c r="K3" s="28" t="inlineStr">
        <is>
          <t>2028Q1</t>
        </is>
      </c>
      <c r="L3" s="28" t="inlineStr">
        <is>
          <t>2028Q3</t>
        </is>
      </c>
      <c r="M3" s="28" t="inlineStr">
        <is>
          <t>2028Q7</t>
        </is>
      </c>
      <c r="N3" s="28" t="inlineStr">
        <is>
          <t>2028Q3</t>
        </is>
      </c>
      <c r="O3" s="28" t="inlineStr">
        <is>
          <t>2029Q1</t>
        </is>
      </c>
      <c r="P3" s="28" t="inlineStr">
        <is>
          <t>2029Q3</t>
        </is>
      </c>
      <c r="Q3" s="28" t="inlineStr">
        <is>
          <t>2029Q7</t>
        </is>
      </c>
      <c r="R3" s="28" t="inlineStr">
        <is>
          <t>2029Q3</t>
        </is>
      </c>
      <c r="S3" s="28" t="inlineStr">
        <is>
          <t>2030Q1</t>
        </is>
      </c>
      <c r="T3" s="28" t="inlineStr">
        <is>
          <t>2030Q3</t>
        </is>
      </c>
      <c r="U3" s="28" t="inlineStr">
        <is>
          <t>2030Q7</t>
        </is>
      </c>
      <c r="V3" s="28" t="inlineStr">
        <is>
          <t>2030Q3</t>
        </is>
      </c>
    </row>
    <row r="4">
      <c r="A4" t="inlineStr">
        <is>
          <t>Клиническая подписка</t>
        </is>
      </c>
      <c r="C4" s="29">
        <f>Выручка!C4*Допущения!C38</f>
        <v/>
      </c>
      <c r="D4" s="29">
        <f>Выручка!C4*Допущения!D38</f>
        <v/>
      </c>
      <c r="E4" s="29">
        <f>Выручка!C4*Допущения!E38</f>
        <v/>
      </c>
      <c r="F4" s="29">
        <f>Выручка!C4*Допущения!F38</f>
        <v/>
      </c>
      <c r="G4" s="29">
        <f>Выручка!D4*Допущения!C38</f>
        <v/>
      </c>
      <c r="H4" s="29">
        <f>Выручка!D4*Допущения!D38</f>
        <v/>
      </c>
      <c r="I4" s="29">
        <f>Выручка!D4*Допущения!E38</f>
        <v/>
      </c>
      <c r="J4" s="29">
        <f>Выручка!D4*Допущения!F38</f>
        <v/>
      </c>
      <c r="K4" s="29">
        <f>Выручка!E4*Допущения!C38</f>
        <v/>
      </c>
      <c r="L4" s="29">
        <f>Выручка!E4*Допущения!D38</f>
        <v/>
      </c>
      <c r="M4" s="29">
        <f>Выручка!E4*Допущения!E38</f>
        <v/>
      </c>
      <c r="N4" s="29">
        <f>Выручка!E4*Допущения!F38</f>
        <v/>
      </c>
      <c r="O4" s="29">
        <f>Выручка!F4*Допущения!C38</f>
        <v/>
      </c>
      <c r="P4" s="29">
        <f>Выручка!F4*Допущения!D38</f>
        <v/>
      </c>
      <c r="Q4" s="29">
        <f>Выручка!F4*Допущения!E38</f>
        <v/>
      </c>
      <c r="R4" s="29">
        <f>Выручка!F4*Допущения!F38</f>
        <v/>
      </c>
      <c r="S4" s="29">
        <f>Выручка!G4*Допущения!C38</f>
        <v/>
      </c>
      <c r="T4" s="29">
        <f>Выручка!G4*Допущения!D38</f>
        <v/>
      </c>
      <c r="U4" s="29">
        <f>Выручка!G4*Допущения!E38</f>
        <v/>
      </c>
      <c r="V4" s="29">
        <f>Выручка!G4*Допущения!F38</f>
        <v/>
      </c>
    </row>
    <row r="5">
      <c r="A5" t="inlineStr">
        <is>
          <t>Доп. модули</t>
        </is>
      </c>
      <c r="C5" s="29">
        <f>Выручка!C5*Допущения!C38</f>
        <v/>
      </c>
      <c r="D5" s="29">
        <f>Выручка!C5*Допущения!D38</f>
        <v/>
      </c>
      <c r="E5" s="29">
        <f>Выручка!C5*Допущения!E38</f>
        <v/>
      </c>
      <c r="F5" s="29">
        <f>Выручка!C5*Допущения!F38</f>
        <v/>
      </c>
      <c r="G5" s="29">
        <f>Выручка!D5*Допущения!C38</f>
        <v/>
      </c>
      <c r="H5" s="29">
        <f>Выручка!D5*Допущения!D38</f>
        <v/>
      </c>
      <c r="I5" s="29">
        <f>Выручка!D5*Допущения!E38</f>
        <v/>
      </c>
      <c r="J5" s="29">
        <f>Выручка!D5*Допущения!F38</f>
        <v/>
      </c>
      <c r="K5" s="29">
        <f>Выручка!E5*Допущения!C38</f>
        <v/>
      </c>
      <c r="L5" s="29">
        <f>Выручка!E5*Допущения!D38</f>
        <v/>
      </c>
      <c r="M5" s="29">
        <f>Выручка!E5*Допущения!E38</f>
        <v/>
      </c>
      <c r="N5" s="29">
        <f>Выручка!E5*Допущения!F38</f>
        <v/>
      </c>
      <c r="O5" s="29">
        <f>Выручка!F5*Допущения!C38</f>
        <v/>
      </c>
      <c r="P5" s="29">
        <f>Выручка!F5*Допущения!D38</f>
        <v/>
      </c>
      <c r="Q5" s="29">
        <f>Выручка!F5*Допущения!E38</f>
        <v/>
      </c>
      <c r="R5" s="29">
        <f>Выручка!F5*Допущения!F38</f>
        <v/>
      </c>
      <c r="S5" s="29">
        <f>Выручка!G5*Допущения!C38</f>
        <v/>
      </c>
      <c r="T5" s="29">
        <f>Выручка!G5*Допущения!D38</f>
        <v/>
      </c>
      <c r="U5" s="29">
        <f>Выручка!G5*Допущения!E38</f>
        <v/>
      </c>
      <c r="V5" s="29">
        <f>Выручка!G5*Допущения!F38</f>
        <v/>
      </c>
    </row>
    <row r="6">
      <c r="A6" t="inlineStr">
        <is>
          <t>Матчинг донорство/СМ</t>
        </is>
      </c>
      <c r="C6" s="29">
        <f>Выручка!C6*Допущения!C38</f>
        <v/>
      </c>
      <c r="D6" s="29">
        <f>Выручка!C6*Допущения!D38</f>
        <v/>
      </c>
      <c r="E6" s="29">
        <f>Выручка!C6*Допущения!E38</f>
        <v/>
      </c>
      <c r="F6" s="29">
        <f>Выручка!C6*Допущения!F38</f>
        <v/>
      </c>
      <c r="G6" s="29">
        <f>Выручка!D6*Допущения!C38</f>
        <v/>
      </c>
      <c r="H6" s="29">
        <f>Выручка!D6*Допущения!D38</f>
        <v/>
      </c>
      <c r="I6" s="29">
        <f>Выручка!D6*Допущения!E38</f>
        <v/>
      </c>
      <c r="J6" s="29">
        <f>Выручка!D6*Допущения!F38</f>
        <v/>
      </c>
      <c r="K6" s="29">
        <f>Выручка!E6*Допущения!C38</f>
        <v/>
      </c>
      <c r="L6" s="29">
        <f>Выручка!E6*Допущения!D38</f>
        <v/>
      </c>
      <c r="M6" s="29">
        <f>Выручка!E6*Допущения!E38</f>
        <v/>
      </c>
      <c r="N6" s="29">
        <f>Выручка!E6*Допущения!F38</f>
        <v/>
      </c>
      <c r="O6" s="29">
        <f>Выручка!F6*Допущения!C38</f>
        <v/>
      </c>
      <c r="P6" s="29">
        <f>Выручка!F6*Допущения!D38</f>
        <v/>
      </c>
      <c r="Q6" s="29">
        <f>Выручка!F6*Допущения!E38</f>
        <v/>
      </c>
      <c r="R6" s="29">
        <f>Выручка!F6*Допущения!F38</f>
        <v/>
      </c>
      <c r="S6" s="29">
        <f>Выручка!G6*Допущения!C38</f>
        <v/>
      </c>
      <c r="T6" s="29">
        <f>Выручка!G6*Допущения!D38</f>
        <v/>
      </c>
      <c r="U6" s="29">
        <f>Выручка!G6*Допущения!E38</f>
        <v/>
      </c>
      <c r="V6" s="29">
        <f>Выручка!G6*Допущения!F38</f>
        <v/>
      </c>
    </row>
    <row r="7">
      <c r="A7" t="inlineStr">
        <is>
          <t>B2G-аналитика</t>
        </is>
      </c>
      <c r="C7" s="29">
        <f>Выручка!C7*Допущения!C38</f>
        <v/>
      </c>
      <c r="D7" s="29">
        <f>Выручка!C7*Допущения!D38</f>
        <v/>
      </c>
      <c r="E7" s="29">
        <f>Выручка!C7*Допущения!E38</f>
        <v/>
      </c>
      <c r="F7" s="29">
        <f>Выручка!C7*Допущения!F38</f>
        <v/>
      </c>
      <c r="G7" s="29">
        <f>Выручка!D7*Допущения!C38</f>
        <v/>
      </c>
      <c r="H7" s="29">
        <f>Выручка!D7*Допущения!D38</f>
        <v/>
      </c>
      <c r="I7" s="29">
        <f>Выручка!D7*Допущения!E38</f>
        <v/>
      </c>
      <c r="J7" s="29">
        <f>Выручка!D7*Допущения!F38</f>
        <v/>
      </c>
      <c r="K7" s="29">
        <f>Выручка!E7*Допущения!C38</f>
        <v/>
      </c>
      <c r="L7" s="29">
        <f>Выручка!E7*Допущения!D38</f>
        <v/>
      </c>
      <c r="M7" s="29">
        <f>Выручка!E7*Допущения!E38</f>
        <v/>
      </c>
      <c r="N7" s="29">
        <f>Выручка!E7*Допущения!F38</f>
        <v/>
      </c>
      <c r="O7" s="29">
        <f>Выручка!F7*Допущения!C38</f>
        <v/>
      </c>
      <c r="P7" s="29">
        <f>Выручка!F7*Допущения!D38</f>
        <v/>
      </c>
      <c r="Q7" s="29">
        <f>Выручка!F7*Допущения!E38</f>
        <v/>
      </c>
      <c r="R7" s="29">
        <f>Выручка!F7*Допущения!F38</f>
        <v/>
      </c>
      <c r="S7" s="29">
        <f>Выручка!G7*Допущения!C38</f>
        <v/>
      </c>
      <c r="T7" s="29">
        <f>Выручка!G7*Допущения!D38</f>
        <v/>
      </c>
      <c r="U7" s="29">
        <f>Выручка!G7*Допущения!E38</f>
        <v/>
      </c>
      <c r="V7" s="29">
        <f>Выручка!G7*Допущения!F38</f>
        <v/>
      </c>
    </row>
    <row r="8">
      <c r="A8" t="inlineStr">
        <is>
          <t>Международное направление (Хайнань/АТР)</t>
        </is>
      </c>
      <c r="C8" s="29">
        <f>Выручка!C8*Допущения!C38</f>
        <v/>
      </c>
      <c r="D8" s="29">
        <f>Выручка!C8*Допущения!D38</f>
        <v/>
      </c>
      <c r="E8" s="29">
        <f>Выручка!C8*Допущения!E38</f>
        <v/>
      </c>
      <c r="F8" s="29">
        <f>Выручка!C8*Допущения!F38</f>
        <v/>
      </c>
      <c r="G8" s="29">
        <f>Выручка!D8*Допущения!C38</f>
        <v/>
      </c>
      <c r="H8" s="29">
        <f>Выручка!D8*Допущения!D38</f>
        <v/>
      </c>
      <c r="I8" s="29">
        <f>Выручка!D8*Допущения!E38</f>
        <v/>
      </c>
      <c r="J8" s="29">
        <f>Выручка!D8*Допущения!F38</f>
        <v/>
      </c>
      <c r="K8" s="29">
        <f>Выручка!E8*Допущения!C38</f>
        <v/>
      </c>
      <c r="L8" s="29">
        <f>Выручка!E8*Допущения!D38</f>
        <v/>
      </c>
      <c r="M8" s="29">
        <f>Выручка!E8*Допущения!E38</f>
        <v/>
      </c>
      <c r="N8" s="29">
        <f>Выручка!E8*Допущения!F38</f>
        <v/>
      </c>
      <c r="O8" s="29">
        <f>Выручка!F8*Допущения!C38</f>
        <v/>
      </c>
      <c r="P8" s="29">
        <f>Выручка!F8*Допущения!D38</f>
        <v/>
      </c>
      <c r="Q8" s="29">
        <f>Выручка!F8*Допущения!E38</f>
        <v/>
      </c>
      <c r="R8" s="29">
        <f>Выручка!F8*Допущения!F38</f>
        <v/>
      </c>
      <c r="S8" s="29">
        <f>Выручка!G8*Допущения!C38</f>
        <v/>
      </c>
      <c r="T8" s="29">
        <f>Выручка!G8*Допущения!D38</f>
        <v/>
      </c>
      <c r="U8" s="29">
        <f>Выручка!G8*Допущения!E38</f>
        <v/>
      </c>
      <c r="V8" s="29">
        <f>Выручка!G8*Допущения!F38</f>
        <v/>
      </c>
    </row>
    <row r="9"/>
    <row r="10">
      <c r="A10" s="8" t="inlineStr">
        <is>
          <t>ИТОГО ВЫРУЧКА</t>
        </is>
      </c>
      <c r="C10" s="30">
        <f>SUM(C4:C8)</f>
        <v/>
      </c>
      <c r="D10" s="30">
        <f>SUM(D4:D8)</f>
        <v/>
      </c>
      <c r="E10" s="30">
        <f>SUM(E4:E8)</f>
        <v/>
      </c>
      <c r="F10" s="30">
        <f>SUM(F4:F8)</f>
        <v/>
      </c>
      <c r="G10" s="30">
        <f>SUM(G4:G8)</f>
        <v/>
      </c>
      <c r="H10" s="30">
        <f>SUM(H4:H8)</f>
        <v/>
      </c>
      <c r="I10" s="30">
        <f>SUM(I4:I8)</f>
        <v/>
      </c>
      <c r="J10" s="30">
        <f>SUM(J4:J8)</f>
        <v/>
      </c>
      <c r="K10" s="30">
        <f>SUM(K4:K8)</f>
        <v/>
      </c>
      <c r="L10" s="30">
        <f>SUM(L4:L8)</f>
        <v/>
      </c>
      <c r="M10" s="30">
        <f>SUM(M4:M8)</f>
        <v/>
      </c>
      <c r="N10" s="30">
        <f>SUM(N4:N8)</f>
        <v/>
      </c>
      <c r="O10" s="30">
        <f>SUM(O4:O8)</f>
        <v/>
      </c>
      <c r="P10" s="30">
        <f>SUM(P4:P8)</f>
        <v/>
      </c>
      <c r="Q10" s="30">
        <f>SUM(Q4:Q8)</f>
        <v/>
      </c>
      <c r="R10" s="30">
        <f>SUM(R4:R8)</f>
        <v/>
      </c>
      <c r="S10" s="30">
        <f>SUM(S4:S8)</f>
        <v/>
      </c>
      <c r="T10" s="30">
        <f>SUM(T4:T8)</f>
        <v/>
      </c>
      <c r="U10" s="30">
        <f>SUM(U4:U8)</f>
        <v/>
      </c>
      <c r="V10" s="30">
        <f>SUM(V4:V8)</f>
        <v/>
      </c>
    </row>
    <row r="11"/>
    <row r="12">
      <c r="A12" s="31" t="inlineStr">
        <is>
          <t>Комментарий: выручка распределена внутрь года по весам (Q1 16% → Q3 59%) — эффект роста клиентской базы и сезонности закупок. Годовая сумма равна листу «Выручка».</t>
        </is>
      </c>
    </row>
    <row r="13"/>
  </sheetData>
  <mergeCells count="1">
    <mergeCell ref="A12:T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ОПЕРАЦИОННЫЕ РАСХОДЫ, млн ₽ (с коэффициентом сценария)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11" t="n">
        <v>1292</v>
      </c>
      <c r="D3" s="11" t="n">
        <v>3603</v>
      </c>
      <c r="E3" s="11" t="n">
        <v>3418</v>
      </c>
      <c r="F3" s="11" t="n">
        <v>2889</v>
      </c>
      <c r="G3" s="11" t="n">
        <v>2676</v>
      </c>
    </row>
    <row r="4">
      <c r="A4" t="inlineStr">
        <is>
          <t>ФОТ с отчислениями</t>
        </is>
      </c>
      <c r="C4" s="25">
        <f>Допущения!C24*Допущения!$C$6</f>
        <v/>
      </c>
      <c r="D4" s="25">
        <f>Допущения!D24*Допущения!$C$6</f>
        <v/>
      </c>
      <c r="E4" s="25">
        <f>Допущения!E24*Допущения!$C$6</f>
        <v/>
      </c>
      <c r="F4" s="25">
        <f>Допущения!F24*Допущения!$C$6</f>
        <v/>
      </c>
      <c r="G4" s="25">
        <f>Допущения!G24*Допущения!$C$6</f>
        <v/>
      </c>
    </row>
    <row r="5">
      <c r="A5" t="inlineStr">
        <is>
          <t>НИОКР (подряды, данные)</t>
        </is>
      </c>
      <c r="C5" s="25">
        <f>Допущения!C25*Допущения!$C$6</f>
        <v/>
      </c>
      <c r="D5" s="25">
        <f>Допущения!D25*Допущения!$C$6</f>
        <v/>
      </c>
      <c r="E5" s="25">
        <f>Допущения!E25*Допущения!$C$6</f>
        <v/>
      </c>
      <c r="F5" s="25">
        <f>Допущения!F25*Допущения!$C$6</f>
        <v/>
      </c>
      <c r="G5" s="25">
        <f>Допущения!G25*Допущения!$C$6</f>
        <v/>
      </c>
    </row>
    <row r="6">
      <c r="A6" t="inlineStr">
        <is>
          <t>Маркетинг и продажи</t>
        </is>
      </c>
      <c r="C6" s="25">
        <f>Допущения!C26*Допущения!$C$6</f>
        <v/>
      </c>
      <c r="D6" s="25">
        <f>Допущения!D26*Допущения!$C$6</f>
        <v/>
      </c>
      <c r="E6" s="25">
        <f>Допущения!E26*Допущения!$C$6</f>
        <v/>
      </c>
      <c r="F6" s="25">
        <f>Допущения!F26*Допущения!$C$6</f>
        <v/>
      </c>
      <c r="G6" s="25">
        <f>Допущения!G26*Допущения!$C$6</f>
        <v/>
      </c>
    </row>
    <row r="7">
      <c r="A7" t="inlineStr">
        <is>
          <t>Инфраструктура / облако</t>
        </is>
      </c>
      <c r="C7" s="25">
        <f>Допущения!C27*Допущения!$C$6</f>
        <v/>
      </c>
      <c r="D7" s="25">
        <f>Допущения!D27*Допущения!$C$6</f>
        <v/>
      </c>
      <c r="E7" s="25">
        <f>Допущения!E27*Допущения!$C$6</f>
        <v/>
      </c>
      <c r="F7" s="25">
        <f>Допущения!F27*Допущения!$C$6</f>
        <v/>
      </c>
      <c r="G7" s="25">
        <f>Допущения!G27*Допущения!$C$6</f>
        <v/>
      </c>
    </row>
    <row r="8">
      <c r="A8" t="inlineStr">
        <is>
          <t>Административные и юридические</t>
        </is>
      </c>
      <c r="C8" s="25">
        <f>Допущения!C28*Допущения!$C$6</f>
        <v/>
      </c>
      <c r="D8" s="25">
        <f>Допущения!D28*Допущения!$C$6</f>
        <v/>
      </c>
      <c r="E8" s="25">
        <f>Допущения!E28*Допущения!$C$6</f>
        <v/>
      </c>
      <c r="F8" s="25">
        <f>Допущения!F28*Допущения!$C$6</f>
        <v/>
      </c>
      <c r="G8" s="25">
        <f>Допущения!G28*Допущения!$C$6</f>
        <v/>
      </c>
    </row>
    <row r="9">
      <c r="A9" t="inlineStr">
        <is>
          <t>Регуляторика РФ + NMPA</t>
        </is>
      </c>
      <c r="C9" s="25">
        <f>Допущения!C29*Допущения!$C$6</f>
        <v/>
      </c>
      <c r="D9" s="25">
        <f>Допущения!D29*Допущения!$C$6</f>
        <v/>
      </c>
      <c r="E9" s="25">
        <f>Допущения!E29*Допущения!$C$6</f>
        <v/>
      </c>
      <c r="F9" s="25">
        <f>Допущения!F29*Допущения!$C$6</f>
        <v/>
      </c>
      <c r="G9" s="25">
        <f>Допущения!G29*Допущения!$C$6</f>
        <v/>
      </c>
    </row>
    <row r="10"/>
    <row r="11">
      <c r="A11" s="8" t="inlineStr">
        <is>
          <t>ИТОГО РАСХОДЫ</t>
        </is>
      </c>
      <c r="C11" s="26">
        <f>SUM(C4:C9)</f>
        <v/>
      </c>
      <c r="D11" s="26">
        <f>SUM(D4:D9)</f>
        <v/>
      </c>
      <c r="E11" s="26">
        <f>SUM(E4:E9)</f>
        <v/>
      </c>
      <c r="F11" s="26">
        <f>SUM(F4:F9)</f>
        <v/>
      </c>
      <c r="G11" s="26">
        <f>SUM(G4:G9)</f>
        <v/>
      </c>
    </row>
    <row r="12"/>
    <row r="13">
      <c r="A13" s="4" t="inlineStr">
        <is>
          <t>Доля в расходах, %</t>
        </is>
      </c>
    </row>
    <row r="14">
      <c r="A14" t="inlineStr">
        <is>
          <t>ФОТ с отчислениями</t>
        </is>
      </c>
      <c r="C14" s="27">
        <f>IF(C11=0,0,C4/C11)</f>
        <v/>
      </c>
      <c r="D14" s="27">
        <f>IF(D11=0,0,D4/D11)</f>
        <v/>
      </c>
      <c r="E14" s="27">
        <f>IF(E11=0,0,E4/E11)</f>
        <v/>
      </c>
      <c r="F14" s="27">
        <f>IF(F11=0,0,F4/F11)</f>
        <v/>
      </c>
      <c r="G14" s="27">
        <f>IF(G11=0,0,G4/G11)</f>
        <v/>
      </c>
    </row>
    <row r="15">
      <c r="A15" t="inlineStr">
        <is>
          <t>НИОКР (подряды, данные)</t>
        </is>
      </c>
      <c r="C15" s="27">
        <f>IF(C11=0,0,C5/C11)</f>
        <v/>
      </c>
      <c r="D15" s="27">
        <f>IF(D11=0,0,D5/D11)</f>
        <v/>
      </c>
      <c r="E15" s="27">
        <f>IF(E11=0,0,E5/E11)</f>
        <v/>
      </c>
      <c r="F15" s="27">
        <f>IF(F11=0,0,F5/F11)</f>
        <v/>
      </c>
      <c r="G15" s="27">
        <f>IF(G11=0,0,G5/G11)</f>
        <v/>
      </c>
    </row>
    <row r="16">
      <c r="A16" t="inlineStr">
        <is>
          <t>Маркетинг и продажи</t>
        </is>
      </c>
      <c r="C16" s="27">
        <f>IF(C11=0,0,C6/C11)</f>
        <v/>
      </c>
      <c r="D16" s="27">
        <f>IF(D11=0,0,D6/D11)</f>
        <v/>
      </c>
      <c r="E16" s="27">
        <f>IF(E11=0,0,E6/E11)</f>
        <v/>
      </c>
      <c r="F16" s="27">
        <f>IF(F11=0,0,F6/F11)</f>
        <v/>
      </c>
      <c r="G16" s="27">
        <f>IF(G11=0,0,G6/G11)</f>
        <v/>
      </c>
    </row>
    <row r="17">
      <c r="A17" t="inlineStr">
        <is>
          <t>Инфраструктура / облако</t>
        </is>
      </c>
      <c r="C17" s="27">
        <f>IF(C11=0,0,C7/C11)</f>
        <v/>
      </c>
      <c r="D17" s="27">
        <f>IF(D11=0,0,D7/D11)</f>
        <v/>
      </c>
      <c r="E17" s="27">
        <f>IF(E11=0,0,E7/E11)</f>
        <v/>
      </c>
      <c r="F17" s="27">
        <f>IF(F11=0,0,F7/F11)</f>
        <v/>
      </c>
      <c r="G17" s="27">
        <f>IF(G11=0,0,G7/G11)</f>
        <v/>
      </c>
    </row>
    <row r="18">
      <c r="A18" t="inlineStr">
        <is>
          <t>Административные и юридические</t>
        </is>
      </c>
      <c r="C18" s="27">
        <f>IF(C11=0,0,C8/C11)</f>
        <v/>
      </c>
      <c r="D18" s="27">
        <f>IF(D11=0,0,D8/D11)</f>
        <v/>
      </c>
      <c r="E18" s="27">
        <f>IF(E11=0,0,E8/E11)</f>
        <v/>
      </c>
      <c r="F18" s="27">
        <f>IF(F11=0,0,F8/F11)</f>
        <v/>
      </c>
      <c r="G18" s="27">
        <f>IF(G11=0,0,G8/G11)</f>
        <v/>
      </c>
    </row>
    <row r="19">
      <c r="A19" t="inlineStr">
        <is>
          <t>Регуляторика РФ + NMPA</t>
        </is>
      </c>
      <c r="C19" s="27">
        <f>IF(C11=0,0,C9/C11)</f>
        <v/>
      </c>
      <c r="D19" s="27">
        <f>IF(D11=0,0,D9/D11)</f>
        <v/>
      </c>
      <c r="E19" s="27">
        <f>IF(E11=0,0,E9/E11)</f>
        <v/>
      </c>
      <c r="F19" s="27">
        <f>IF(F11=0,0,F9/F11)</f>
        <v/>
      </c>
      <c r="G19" s="27">
        <f>IF(G11=0,0,G9/G11)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1" t="inlineStr">
        <is>
          <t>КВАРТАЛЬНЫЕ ОПЕРАЦИОННЫЕ РАСХОДЫ, млн ₽ (годовые суммы = лист «Расходы»)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28" t="inlineStr">
        <is>
          <t>2026Q1</t>
        </is>
      </c>
      <c r="D3" s="28" t="inlineStr">
        <is>
          <t>2026Q3</t>
        </is>
      </c>
      <c r="E3" s="28" t="inlineStr">
        <is>
          <t>2026Q7</t>
        </is>
      </c>
      <c r="F3" s="28" t="inlineStr">
        <is>
          <t>2026Q3</t>
        </is>
      </c>
      <c r="G3" s="28" t="inlineStr">
        <is>
          <t>2027Q1</t>
        </is>
      </c>
      <c r="H3" s="28" t="inlineStr">
        <is>
          <t>2027Q3</t>
        </is>
      </c>
      <c r="I3" s="28" t="inlineStr">
        <is>
          <t>2027Q7</t>
        </is>
      </c>
      <c r="J3" s="28" t="inlineStr">
        <is>
          <t>2027Q3</t>
        </is>
      </c>
      <c r="K3" s="28" t="inlineStr">
        <is>
          <t>2028Q1</t>
        </is>
      </c>
      <c r="L3" s="28" t="inlineStr">
        <is>
          <t>2028Q3</t>
        </is>
      </c>
      <c r="M3" s="28" t="inlineStr">
        <is>
          <t>2028Q7</t>
        </is>
      </c>
      <c r="N3" s="28" t="inlineStr">
        <is>
          <t>2028Q3</t>
        </is>
      </c>
      <c r="O3" s="28" t="inlineStr">
        <is>
          <t>2029Q1</t>
        </is>
      </c>
      <c r="P3" s="28" t="inlineStr">
        <is>
          <t>2029Q3</t>
        </is>
      </c>
      <c r="Q3" s="28" t="inlineStr">
        <is>
          <t>2029Q7</t>
        </is>
      </c>
      <c r="R3" s="28" t="inlineStr">
        <is>
          <t>2029Q3</t>
        </is>
      </c>
      <c r="S3" s="28" t="inlineStr">
        <is>
          <t>2030Q1</t>
        </is>
      </c>
      <c r="T3" s="28" t="inlineStr">
        <is>
          <t>2030Q3</t>
        </is>
      </c>
      <c r="U3" s="28" t="inlineStr">
        <is>
          <t>2030Q7</t>
        </is>
      </c>
      <c r="V3" s="28" t="inlineStr">
        <is>
          <t>2030Q3</t>
        </is>
      </c>
    </row>
    <row r="4">
      <c r="A4" t="inlineStr">
        <is>
          <t>ФОТ с отчислениями</t>
        </is>
      </c>
      <c r="C4" s="29">
        <f>Расходы!C4*Допущения!C39</f>
        <v/>
      </c>
      <c r="D4" s="29">
        <f>Расходы!C4*Допущения!D39</f>
        <v/>
      </c>
      <c r="E4" s="29">
        <f>Расходы!C4*Допущения!E39</f>
        <v/>
      </c>
      <c r="F4" s="29">
        <f>Расходы!C4*Допущения!F39</f>
        <v/>
      </c>
      <c r="G4" s="29">
        <f>Расходы!D4*Допущения!C39</f>
        <v/>
      </c>
      <c r="H4" s="29">
        <f>Расходы!D4*Допущения!D39</f>
        <v/>
      </c>
      <c r="I4" s="29">
        <f>Расходы!D4*Допущения!E39</f>
        <v/>
      </c>
      <c r="J4" s="29">
        <f>Расходы!D4*Допущения!F39</f>
        <v/>
      </c>
      <c r="K4" s="29">
        <f>Расходы!E4*Допущения!C39</f>
        <v/>
      </c>
      <c r="L4" s="29">
        <f>Расходы!E4*Допущения!D39</f>
        <v/>
      </c>
      <c r="M4" s="29">
        <f>Расходы!E4*Допущения!E39</f>
        <v/>
      </c>
      <c r="N4" s="29">
        <f>Расходы!E4*Допущения!F39</f>
        <v/>
      </c>
      <c r="O4" s="29">
        <f>Расходы!F4*Допущения!C39</f>
        <v/>
      </c>
      <c r="P4" s="29">
        <f>Расходы!F4*Допущения!D39</f>
        <v/>
      </c>
      <c r="Q4" s="29">
        <f>Расходы!F4*Допущения!E39</f>
        <v/>
      </c>
      <c r="R4" s="29">
        <f>Расходы!F4*Допущения!F39</f>
        <v/>
      </c>
      <c r="S4" s="29">
        <f>Расходы!G4*Допущения!C39</f>
        <v/>
      </c>
      <c r="T4" s="29">
        <f>Расходы!G4*Допущения!D39</f>
        <v/>
      </c>
      <c r="U4" s="29">
        <f>Расходы!G4*Допущения!E39</f>
        <v/>
      </c>
      <c r="V4" s="29">
        <f>Расходы!G4*Допущения!F39</f>
        <v/>
      </c>
    </row>
    <row r="5">
      <c r="A5" t="inlineStr">
        <is>
          <t>НИОКР</t>
        </is>
      </c>
      <c r="C5" s="29">
        <f>Расходы!C5*Допущения!C39</f>
        <v/>
      </c>
      <c r="D5" s="29">
        <f>Расходы!C5*Допущения!D39</f>
        <v/>
      </c>
      <c r="E5" s="29">
        <f>Расходы!C5*Допущения!E39</f>
        <v/>
      </c>
      <c r="F5" s="29">
        <f>Расходы!C5*Допущения!F39</f>
        <v/>
      </c>
      <c r="G5" s="29">
        <f>Расходы!D5*Допущения!C39</f>
        <v/>
      </c>
      <c r="H5" s="29">
        <f>Расходы!D5*Допущения!D39</f>
        <v/>
      </c>
      <c r="I5" s="29">
        <f>Расходы!D5*Допущения!E39</f>
        <v/>
      </c>
      <c r="J5" s="29">
        <f>Расходы!D5*Допущения!F39</f>
        <v/>
      </c>
      <c r="K5" s="29">
        <f>Расходы!E5*Допущения!C39</f>
        <v/>
      </c>
      <c r="L5" s="29">
        <f>Расходы!E5*Допущения!D39</f>
        <v/>
      </c>
      <c r="M5" s="29">
        <f>Расходы!E5*Допущения!E39</f>
        <v/>
      </c>
      <c r="N5" s="29">
        <f>Расходы!E5*Допущения!F39</f>
        <v/>
      </c>
      <c r="O5" s="29">
        <f>Расходы!F5*Допущения!C39</f>
        <v/>
      </c>
      <c r="P5" s="29">
        <f>Расходы!F5*Допущения!D39</f>
        <v/>
      </c>
      <c r="Q5" s="29">
        <f>Расходы!F5*Допущения!E39</f>
        <v/>
      </c>
      <c r="R5" s="29">
        <f>Расходы!F5*Допущения!F39</f>
        <v/>
      </c>
      <c r="S5" s="29">
        <f>Расходы!G5*Допущения!C39</f>
        <v/>
      </c>
      <c r="T5" s="29">
        <f>Расходы!G5*Допущения!D39</f>
        <v/>
      </c>
      <c r="U5" s="29">
        <f>Расходы!G5*Допущения!E39</f>
        <v/>
      </c>
      <c r="V5" s="29">
        <f>Расходы!G5*Допущения!F39</f>
        <v/>
      </c>
    </row>
    <row r="6">
      <c r="A6" t="inlineStr">
        <is>
          <t>Маркетинг и продажи</t>
        </is>
      </c>
      <c r="C6" s="29">
        <f>Расходы!C6*Допущения!C39</f>
        <v/>
      </c>
      <c r="D6" s="29">
        <f>Расходы!C6*Допущения!D39</f>
        <v/>
      </c>
      <c r="E6" s="29">
        <f>Расходы!C6*Допущения!E39</f>
        <v/>
      </c>
      <c r="F6" s="29">
        <f>Расходы!C6*Допущения!F39</f>
        <v/>
      </c>
      <c r="G6" s="29">
        <f>Расходы!D6*Допущения!C39</f>
        <v/>
      </c>
      <c r="H6" s="29">
        <f>Расходы!D6*Допущения!D39</f>
        <v/>
      </c>
      <c r="I6" s="29">
        <f>Расходы!D6*Допущения!E39</f>
        <v/>
      </c>
      <c r="J6" s="29">
        <f>Расходы!D6*Допущения!F39</f>
        <v/>
      </c>
      <c r="K6" s="29">
        <f>Расходы!E6*Допущения!C39</f>
        <v/>
      </c>
      <c r="L6" s="29">
        <f>Расходы!E6*Допущения!D39</f>
        <v/>
      </c>
      <c r="M6" s="29">
        <f>Расходы!E6*Допущения!E39</f>
        <v/>
      </c>
      <c r="N6" s="29">
        <f>Расходы!E6*Допущения!F39</f>
        <v/>
      </c>
      <c r="O6" s="29">
        <f>Расходы!F6*Допущения!C39</f>
        <v/>
      </c>
      <c r="P6" s="29">
        <f>Расходы!F6*Допущения!D39</f>
        <v/>
      </c>
      <c r="Q6" s="29">
        <f>Расходы!F6*Допущения!E39</f>
        <v/>
      </c>
      <c r="R6" s="29">
        <f>Расходы!F6*Допущения!F39</f>
        <v/>
      </c>
      <c r="S6" s="29">
        <f>Расходы!G6*Допущения!C39</f>
        <v/>
      </c>
      <c r="T6" s="29">
        <f>Расходы!G6*Допущения!D39</f>
        <v/>
      </c>
      <c r="U6" s="29">
        <f>Расходы!G6*Допущения!E39</f>
        <v/>
      </c>
      <c r="V6" s="29">
        <f>Расходы!G6*Допущения!F39</f>
        <v/>
      </c>
    </row>
    <row r="7">
      <c r="A7" t="inlineStr">
        <is>
          <t>Инфраструктура/облако</t>
        </is>
      </c>
      <c r="C7" s="29">
        <f>Расходы!C7*Допущения!C39</f>
        <v/>
      </c>
      <c r="D7" s="29">
        <f>Расходы!C7*Допущения!D39</f>
        <v/>
      </c>
      <c r="E7" s="29">
        <f>Расходы!C7*Допущения!E39</f>
        <v/>
      </c>
      <c r="F7" s="29">
        <f>Расходы!C7*Допущения!F39</f>
        <v/>
      </c>
      <c r="G7" s="29">
        <f>Расходы!D7*Допущения!C39</f>
        <v/>
      </c>
      <c r="H7" s="29">
        <f>Расходы!D7*Допущения!D39</f>
        <v/>
      </c>
      <c r="I7" s="29">
        <f>Расходы!D7*Допущения!E39</f>
        <v/>
      </c>
      <c r="J7" s="29">
        <f>Расходы!D7*Допущения!F39</f>
        <v/>
      </c>
      <c r="K7" s="29">
        <f>Расходы!E7*Допущения!C39</f>
        <v/>
      </c>
      <c r="L7" s="29">
        <f>Расходы!E7*Допущения!D39</f>
        <v/>
      </c>
      <c r="M7" s="29">
        <f>Расходы!E7*Допущения!E39</f>
        <v/>
      </c>
      <c r="N7" s="29">
        <f>Расходы!E7*Допущения!F39</f>
        <v/>
      </c>
      <c r="O7" s="29">
        <f>Расходы!F7*Допущения!C39</f>
        <v/>
      </c>
      <c r="P7" s="29">
        <f>Расходы!F7*Допущения!D39</f>
        <v/>
      </c>
      <c r="Q7" s="29">
        <f>Расходы!F7*Допущения!E39</f>
        <v/>
      </c>
      <c r="R7" s="29">
        <f>Расходы!F7*Допущения!F39</f>
        <v/>
      </c>
      <c r="S7" s="29">
        <f>Расходы!G7*Допущения!C39</f>
        <v/>
      </c>
      <c r="T7" s="29">
        <f>Расходы!G7*Допущения!D39</f>
        <v/>
      </c>
      <c r="U7" s="29">
        <f>Расходы!G7*Допущения!E39</f>
        <v/>
      </c>
      <c r="V7" s="29">
        <f>Расходы!G7*Допущения!F39</f>
        <v/>
      </c>
    </row>
    <row r="8">
      <c r="A8" t="inlineStr">
        <is>
          <t>Административные и юр.</t>
        </is>
      </c>
      <c r="C8" s="29">
        <f>Расходы!C8*Допущения!C39</f>
        <v/>
      </c>
      <c r="D8" s="29">
        <f>Расходы!C8*Допущения!D39</f>
        <v/>
      </c>
      <c r="E8" s="29">
        <f>Расходы!C8*Допущения!E39</f>
        <v/>
      </c>
      <c r="F8" s="29">
        <f>Расходы!C8*Допущения!F39</f>
        <v/>
      </c>
      <c r="G8" s="29">
        <f>Расходы!D8*Допущения!C39</f>
        <v/>
      </c>
      <c r="H8" s="29">
        <f>Расходы!D8*Допущения!D39</f>
        <v/>
      </c>
      <c r="I8" s="29">
        <f>Расходы!D8*Допущения!E39</f>
        <v/>
      </c>
      <c r="J8" s="29">
        <f>Расходы!D8*Допущения!F39</f>
        <v/>
      </c>
      <c r="K8" s="29">
        <f>Расходы!E8*Допущения!C39</f>
        <v/>
      </c>
      <c r="L8" s="29">
        <f>Расходы!E8*Допущения!D39</f>
        <v/>
      </c>
      <c r="M8" s="29">
        <f>Расходы!E8*Допущения!E39</f>
        <v/>
      </c>
      <c r="N8" s="29">
        <f>Расходы!E8*Допущения!F39</f>
        <v/>
      </c>
      <c r="O8" s="29">
        <f>Расходы!F8*Допущения!C39</f>
        <v/>
      </c>
      <c r="P8" s="29">
        <f>Расходы!F8*Допущения!D39</f>
        <v/>
      </c>
      <c r="Q8" s="29">
        <f>Расходы!F8*Допущения!E39</f>
        <v/>
      </c>
      <c r="R8" s="29">
        <f>Расходы!F8*Допущения!F39</f>
        <v/>
      </c>
      <c r="S8" s="29">
        <f>Расходы!G8*Допущения!C39</f>
        <v/>
      </c>
      <c r="T8" s="29">
        <f>Расходы!G8*Допущения!D39</f>
        <v/>
      </c>
      <c r="U8" s="29">
        <f>Расходы!G8*Допущения!E39</f>
        <v/>
      </c>
      <c r="V8" s="29">
        <f>Расходы!G8*Допущения!F39</f>
        <v/>
      </c>
    </row>
    <row r="9">
      <c r="A9" t="inlineStr">
        <is>
          <t>Регуляторика РФ + NMPA</t>
        </is>
      </c>
      <c r="C9" s="29">
        <f>Расходы!C9*Допущения!C39</f>
        <v/>
      </c>
      <c r="D9" s="29">
        <f>Расходы!C9*Допущения!D39</f>
        <v/>
      </c>
      <c r="E9" s="29">
        <f>Расходы!C9*Допущения!E39</f>
        <v/>
      </c>
      <c r="F9" s="29">
        <f>Расходы!C9*Допущения!F39</f>
        <v/>
      </c>
      <c r="G9" s="29">
        <f>Расходы!D9*Допущения!C39</f>
        <v/>
      </c>
      <c r="H9" s="29">
        <f>Расходы!D9*Допущения!D39</f>
        <v/>
      </c>
      <c r="I9" s="29">
        <f>Расходы!D9*Допущения!E39</f>
        <v/>
      </c>
      <c r="J9" s="29">
        <f>Расходы!D9*Допущения!F39</f>
        <v/>
      </c>
      <c r="K9" s="29">
        <f>Расходы!E9*Допущения!C39</f>
        <v/>
      </c>
      <c r="L9" s="29">
        <f>Расходы!E9*Допущения!D39</f>
        <v/>
      </c>
      <c r="M9" s="29">
        <f>Расходы!E9*Допущения!E39</f>
        <v/>
      </c>
      <c r="N9" s="29">
        <f>Расходы!E9*Допущения!F39</f>
        <v/>
      </c>
      <c r="O9" s="29">
        <f>Расходы!F9*Допущения!C39</f>
        <v/>
      </c>
      <c r="P9" s="29">
        <f>Расходы!F9*Допущения!D39</f>
        <v/>
      </c>
      <c r="Q9" s="29">
        <f>Расходы!F9*Допущения!E39</f>
        <v/>
      </c>
      <c r="R9" s="29">
        <f>Расходы!F9*Допущения!F39</f>
        <v/>
      </c>
      <c r="S9" s="29">
        <f>Расходы!G9*Допущения!C39</f>
        <v/>
      </c>
      <c r="T9" s="29">
        <f>Расходы!G9*Допущения!D39</f>
        <v/>
      </c>
      <c r="U9" s="29">
        <f>Расходы!G9*Допущения!E39</f>
        <v/>
      </c>
      <c r="V9" s="29">
        <f>Расходы!G9*Допущения!F39</f>
        <v/>
      </c>
    </row>
    <row r="10"/>
    <row r="11">
      <c r="A11" s="8" t="inlineStr">
        <is>
          <t>ИТОГО РАСХОДЫ</t>
        </is>
      </c>
      <c r="C11" s="30">
        <f>SUM(C4:C9)</f>
        <v/>
      </c>
      <c r="D11" s="30">
        <f>SUM(D4:D9)</f>
        <v/>
      </c>
      <c r="E11" s="30">
        <f>SUM(E4:E9)</f>
        <v/>
      </c>
      <c r="F11" s="30">
        <f>SUM(F4:F9)</f>
        <v/>
      </c>
      <c r="G11" s="30">
        <f>SUM(G4:G9)</f>
        <v/>
      </c>
      <c r="H11" s="30">
        <f>SUM(H4:H9)</f>
        <v/>
      </c>
      <c r="I11" s="30">
        <f>SUM(I4:I9)</f>
        <v/>
      </c>
      <c r="J11" s="30">
        <f>SUM(J4:J9)</f>
        <v/>
      </c>
      <c r="K11" s="30">
        <f>SUM(K4:K9)</f>
        <v/>
      </c>
      <c r="L11" s="30">
        <f>SUM(L4:L9)</f>
        <v/>
      </c>
      <c r="M11" s="30">
        <f>SUM(M4:M9)</f>
        <v/>
      </c>
      <c r="N11" s="30">
        <f>SUM(N4:N9)</f>
        <v/>
      </c>
      <c r="O11" s="30">
        <f>SUM(O4:O9)</f>
        <v/>
      </c>
      <c r="P11" s="30">
        <f>SUM(P4:P9)</f>
        <v/>
      </c>
      <c r="Q11" s="30">
        <f>SUM(Q4:Q9)</f>
        <v/>
      </c>
      <c r="R11" s="30">
        <f>SUM(R4:R9)</f>
        <v/>
      </c>
      <c r="S11" s="30">
        <f>SUM(S4:S9)</f>
        <v/>
      </c>
      <c r="T11" s="30">
        <f>SUM(T4:T9)</f>
        <v/>
      </c>
      <c r="U11" s="30">
        <f>SUM(U4:U9)</f>
        <v/>
      </c>
      <c r="V11" s="30">
        <f>SUM(V4:V9)</f>
        <v/>
      </c>
    </row>
    <row r="12"/>
    <row r="13">
      <c r="A13" s="31" t="inlineStr">
        <is>
          <t>Комментарий: расходы распределены внутри года равномерно с лёгким ростом (Q1 46% → Q3 40%); пики регуляторных затрат и НИОКР приходятся на 2029–2030 гг.</t>
        </is>
      </c>
    </row>
    <row r="14"/>
  </sheetData>
  <mergeCells count="1">
    <mergeCell ref="A13:T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ШТАТ И ФОНД ОПЛАТЫ ТРУДА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11" t="n">
        <v>1292</v>
      </c>
      <c r="D3" s="11" t="n">
        <v>3603</v>
      </c>
      <c r="E3" s="11" t="n">
        <v>3418</v>
      </c>
      <c r="F3" s="11" t="n">
        <v>2889</v>
      </c>
      <c r="G3" s="11" t="n">
        <v>2676</v>
      </c>
    </row>
    <row r="4">
      <c r="A4" t="inlineStr">
        <is>
          <t>Среднесписочная численность (чел.)</t>
        </is>
      </c>
      <c r="B4" t="inlineStr">
        <is>
          <t>чел.</t>
        </is>
      </c>
      <c r="C4" s="15" t="n">
        <v>13</v>
      </c>
      <c r="D4" s="15" t="n">
        <v>12</v>
      </c>
      <c r="E4" s="15" t="n">
        <v>41</v>
      </c>
      <c r="F4" s="15" t="n">
        <v>47</v>
      </c>
      <c r="G4" s="15" t="n">
        <v>128</v>
      </c>
    </row>
    <row r="5">
      <c r="A5" t="inlineStr">
        <is>
          <t>ФОТ с отчислениями (млн ₽)</t>
        </is>
      </c>
      <c r="B5" t="inlineStr">
        <is>
          <t>млн ₽</t>
        </is>
      </c>
      <c r="C5" s="14" t="n">
        <v>24</v>
      </c>
      <c r="D5" s="14" t="n">
        <v>70</v>
      </c>
      <c r="E5" s="14" t="n">
        <v>103</v>
      </c>
      <c r="F5" s="14" t="n">
        <v>141</v>
      </c>
      <c r="G5" s="14" t="n">
        <v>288</v>
      </c>
    </row>
    <row r="6">
      <c r="A6" t="inlineStr">
        <is>
          <t>Средняя стоимость FTE (млн ₽/год)</t>
        </is>
      </c>
      <c r="B6" t="inlineStr">
        <is>
          <t>млн ₽</t>
        </is>
      </c>
      <c r="C6" s="32">
        <f>C5/C4</f>
        <v/>
      </c>
      <c r="D6" s="32">
        <f>D5/D4</f>
        <v/>
      </c>
      <c r="E6" s="32">
        <f>E5/E4</f>
        <v/>
      </c>
      <c r="F6" s="32">
        <f>F5/F4</f>
        <v/>
      </c>
      <c r="G6" s="32">
        <f>G5/G4</f>
        <v/>
      </c>
    </row>
    <row r="7"/>
    <row r="8">
      <c r="A8" s="4" t="inlineStr">
        <is>
          <t>СТРУКТУРА КОМАНДЫ (план, ключевые роли)</t>
        </is>
      </c>
    </row>
    <row r="9">
      <c r="A9" s="8" t="inlineStr">
        <is>
          <t>Продукт / ML</t>
        </is>
      </c>
      <c r="B9" t="inlineStr">
        <is>
          <t>ML-инженеры, продуктовый лид</t>
        </is>
      </c>
    </row>
    <row r="10">
      <c r="A10" s="8" t="inlineStr">
        <is>
          <t>Разработка / интеграции</t>
        </is>
      </c>
      <c r="B10" t="inlineStr">
        <is>
          <t>backend, интеграция с МИС, DevOps</t>
        </is>
      </c>
    </row>
    <row r="11">
      <c r="A11" s="8" t="inlineStr">
        <is>
          <t>Клиническая экспертиза</t>
        </is>
      </c>
      <c r="B11" t="inlineStr">
        <is>
          <t>эмбриологи-аналитики, менеджер клин. исследований</t>
        </is>
      </c>
    </row>
    <row r="12">
      <c r="A12" s="8" t="inlineStr">
        <is>
          <t>Регуляторика</t>
        </is>
      </c>
      <c r="B12" t="inlineStr">
        <is>
          <t>специалист по регистрации ИИ-МИ / NMPA</t>
        </is>
      </c>
    </row>
    <row r="13">
      <c r="A13" s="8" t="inlineStr">
        <is>
          <t>Коммерция / B2B-продажи</t>
        </is>
      </c>
      <c r="B13" t="inlineStr">
        <is>
          <t>менеджеры по клиникам, пресейл</t>
        </is>
      </c>
    </row>
    <row r="14">
      <c r="A14" s="8" t="inlineStr">
        <is>
          <t>Международное направление</t>
        </is>
      </c>
      <c r="B14" t="inlineStr">
        <is>
          <t>country manager (КНР), партнёрства АТР</t>
        </is>
      </c>
    </row>
    <row r="15">
      <c r="A15" s="8" t="inlineStr">
        <is>
          <t>Корп. функции</t>
        </is>
      </c>
      <c r="B15" t="inlineStr">
        <is>
          <t>финансы, юристы, HR, поддержка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ОТЧЁТ О ПРИБЫЛЯХ И УБЫТКАХ (годовой), млн ₽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11" t="n">
        <v>1292</v>
      </c>
      <c r="D3" s="11" t="n">
        <v>3603</v>
      </c>
      <c r="E3" s="11" t="n">
        <v>3418</v>
      </c>
      <c r="F3" s="11" t="n">
        <v>2889</v>
      </c>
      <c r="G3" s="11" t="n">
        <v>2676</v>
      </c>
    </row>
    <row r="4">
      <c r="A4" t="inlineStr">
        <is>
          <t>Выручка</t>
        </is>
      </c>
      <c r="C4" s="25">
        <f>Выручка!C10</f>
        <v/>
      </c>
      <c r="D4" s="25">
        <f>Выручка!D10</f>
        <v/>
      </c>
      <c r="E4" s="25">
        <f>Выручка!E10</f>
        <v/>
      </c>
      <c r="F4" s="25">
        <f>Выручка!F10</f>
        <v/>
      </c>
      <c r="G4" s="25">
        <f>Выручка!G10</f>
        <v/>
      </c>
    </row>
    <row r="5">
      <c r="A5" t="inlineStr">
        <is>
          <t>(себестоимость/переменные — в составе OPEX)</t>
        </is>
      </c>
    </row>
    <row r="6">
      <c r="A6" t="inlineStr">
        <is>
          <t>Операционные расходы</t>
        </is>
      </c>
      <c r="C6" s="25">
        <f>-Расходы!C11</f>
        <v/>
      </c>
      <c r="D6" s="25">
        <f>-Расходы!D11</f>
        <v/>
      </c>
      <c r="E6" s="25">
        <f>-Расходы!E11</f>
        <v/>
      </c>
      <c r="F6" s="25">
        <f>-Расходы!F11</f>
        <v/>
      </c>
      <c r="G6" s="25">
        <f>-Расходы!G11</f>
        <v/>
      </c>
    </row>
    <row r="7"/>
    <row r="8">
      <c r="A8" s="8" t="inlineStr">
        <is>
          <t>EBITDA</t>
        </is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</row>
    <row r="9">
      <c r="A9" t="inlineStr">
        <is>
          <t>EBITDA-маржа</t>
        </is>
      </c>
      <c r="C9" s="34">
        <f>IF(C4=0,0,C8/C4)</f>
        <v/>
      </c>
      <c r="D9" s="34">
        <f>IF(D4=0,0,D8/D4)</f>
        <v/>
      </c>
      <c r="E9" s="34">
        <f>IF(E4=0,0,E8/E4)</f>
        <v/>
      </c>
      <c r="F9" s="34">
        <f>IF(F4=0,0,F8/F4)</f>
        <v/>
      </c>
      <c r="G9" s="34">
        <f>IF(G4=0,0,G8/G4)</f>
        <v/>
      </c>
    </row>
    <row r="10"/>
    <row r="11">
      <c r="A11" t="inlineStr">
        <is>
          <t>Налог УСН «доходы» (8%)</t>
        </is>
      </c>
      <c r="C11" s="25">
        <f>-MAX(0,C8)*Допущения!C32/100</f>
        <v/>
      </c>
      <c r="D11" s="25">
        <f>-MAX(0,D8)*Допущения!D32/100</f>
        <v/>
      </c>
      <c r="E11" s="25">
        <f>-MAX(0,E8)*Допущения!E32/100</f>
        <v/>
      </c>
      <c r="F11" s="25">
        <f>-MAX(0,F8)*Допущения!F32/100</f>
        <v/>
      </c>
      <c r="G11" s="25">
        <f>-MAX(0,G8)*Допущения!G32/100</f>
        <v/>
      </c>
    </row>
    <row r="12">
      <c r="A12" s="8" t="inlineStr">
        <is>
          <t>Чистая прибыль</t>
        </is>
      </c>
      <c r="C12" s="33">
        <f>C8+C11</f>
        <v/>
      </c>
      <c r="D12" s="33">
        <f>D8+D11</f>
        <v/>
      </c>
      <c r="E12" s="33">
        <f>E8+E11</f>
        <v/>
      </c>
      <c r="F12" s="33">
        <f>F8+F11</f>
        <v/>
      </c>
      <c r="G12" s="33">
        <f>G8+G11</f>
        <v/>
      </c>
    </row>
    <row r="13">
      <c r="A13" t="inlineStr">
        <is>
          <t>Чистая маржа</t>
        </is>
      </c>
      <c r="C13" s="34">
        <f>IF(C4=0,0,C12/C4)</f>
        <v/>
      </c>
      <c r="D13" s="34">
        <f>IF(D4=0,0,D12/D4)</f>
        <v/>
      </c>
      <c r="E13" s="34">
        <f>IF(E4=0,0,E12/E4)</f>
        <v/>
      </c>
      <c r="F13" s="34">
        <f>IF(F4=0,0,F12/F4)</f>
        <v/>
      </c>
      <c r="G13" s="34">
        <f>IF(G4=0,0,G12/G4)</f>
        <v/>
      </c>
    </row>
    <row r="14"/>
    <row r="15">
      <c r="A15" s="3" t="inlineStr">
        <is>
          <t>Проверка: маржа EBITDA 2030 ≈ 41%; EBITDA-безубыточность — 2028 г.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1" t="inlineStr">
        <is>
          <t>КВАРТАЛЬНЫЙ ОТЧЁТ О ПРИБЫЛЯХ И УБЫТКАХ, млн ₽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28" t="inlineStr">
        <is>
          <t>2026Q1</t>
        </is>
      </c>
      <c r="D3" s="28" t="inlineStr">
        <is>
          <t>2026Q3</t>
        </is>
      </c>
      <c r="E3" s="28" t="inlineStr">
        <is>
          <t>2026Q7</t>
        </is>
      </c>
      <c r="F3" s="28" t="inlineStr">
        <is>
          <t>2026Q3</t>
        </is>
      </c>
      <c r="G3" s="28" t="inlineStr">
        <is>
          <t>2027Q1</t>
        </is>
      </c>
      <c r="H3" s="28" t="inlineStr">
        <is>
          <t>2027Q3</t>
        </is>
      </c>
      <c r="I3" s="28" t="inlineStr">
        <is>
          <t>2027Q7</t>
        </is>
      </c>
      <c r="J3" s="28" t="inlineStr">
        <is>
          <t>2027Q3</t>
        </is>
      </c>
      <c r="K3" s="28" t="inlineStr">
        <is>
          <t>2028Q1</t>
        </is>
      </c>
      <c r="L3" s="28" t="inlineStr">
        <is>
          <t>2028Q3</t>
        </is>
      </c>
      <c r="M3" s="28" t="inlineStr">
        <is>
          <t>2028Q7</t>
        </is>
      </c>
      <c r="N3" s="28" t="inlineStr">
        <is>
          <t>2028Q3</t>
        </is>
      </c>
      <c r="O3" s="28" t="inlineStr">
        <is>
          <t>2029Q1</t>
        </is>
      </c>
      <c r="P3" s="28" t="inlineStr">
        <is>
          <t>2029Q3</t>
        </is>
      </c>
      <c r="Q3" s="28" t="inlineStr">
        <is>
          <t>2029Q7</t>
        </is>
      </c>
      <c r="R3" s="28" t="inlineStr">
        <is>
          <t>2029Q3</t>
        </is>
      </c>
      <c r="S3" s="28" t="inlineStr">
        <is>
          <t>2030Q1</t>
        </is>
      </c>
      <c r="T3" s="28" t="inlineStr">
        <is>
          <t>2030Q3</t>
        </is>
      </c>
      <c r="U3" s="28" t="inlineStr">
        <is>
          <t>2030Q7</t>
        </is>
      </c>
      <c r="V3" s="28" t="inlineStr">
        <is>
          <t>2030Q3</t>
        </is>
      </c>
    </row>
    <row r="4">
      <c r="A4" t="inlineStr">
        <is>
          <t>Выручка</t>
        </is>
      </c>
      <c r="C4" s="25">
        <f>Выручка_Кв!C10</f>
        <v/>
      </c>
      <c r="D4" s="25">
        <f>Выручка_Кв!D10</f>
        <v/>
      </c>
      <c r="E4" s="25">
        <f>Выручка_Кв!E10</f>
        <v/>
      </c>
      <c r="F4" s="25">
        <f>Выручка_Кв!F10</f>
        <v/>
      </c>
      <c r="G4" s="25">
        <f>Выручка_Кв!G10</f>
        <v/>
      </c>
      <c r="H4" s="25">
        <f>Выручка_Кв!H10</f>
        <v/>
      </c>
      <c r="I4" s="25">
        <f>Выручка_Кв!I10</f>
        <v/>
      </c>
      <c r="J4" s="25">
        <f>Выручка_Кв!J10</f>
        <v/>
      </c>
      <c r="K4" s="25">
        <f>Выручка_Кв!K10</f>
        <v/>
      </c>
      <c r="L4" s="25">
        <f>Выручка_Кв!L10</f>
        <v/>
      </c>
      <c r="M4" s="25">
        <f>Выручка_Кв!M10</f>
        <v/>
      </c>
      <c r="N4" s="25">
        <f>Выручка_Кв!N10</f>
        <v/>
      </c>
      <c r="O4" s="25">
        <f>Выручка_Кв!O10</f>
        <v/>
      </c>
      <c r="P4" s="25">
        <f>Выручка_Кв!P10</f>
        <v/>
      </c>
      <c r="Q4" s="25">
        <f>Выручка_Кв!Q10</f>
        <v/>
      </c>
      <c r="R4" s="25">
        <f>Выручка_Кв!R10</f>
        <v/>
      </c>
      <c r="S4" s="25">
        <f>Выручка_Кв!S10</f>
        <v/>
      </c>
      <c r="T4" s="25">
        <f>Выручка_Кв!T10</f>
        <v/>
      </c>
      <c r="U4" s="25">
        <f>Выручка_Кв!U10</f>
        <v/>
      </c>
      <c r="V4" s="25">
        <f>Выручка_Кв!V10</f>
        <v/>
      </c>
    </row>
    <row r="5"/>
    <row r="6">
      <c r="A6" t="inlineStr">
        <is>
          <t>Операционные расходы</t>
        </is>
      </c>
      <c r="C6" s="25">
        <f>-Расходы_Кв!C11</f>
        <v/>
      </c>
      <c r="D6" s="25">
        <f>-Расходы_Кв!D11</f>
        <v/>
      </c>
      <c r="E6" s="25">
        <f>-Расходы_Кв!E11</f>
        <v/>
      </c>
      <c r="F6" s="25">
        <f>-Расходы_Кв!F11</f>
        <v/>
      </c>
      <c r="G6" s="25">
        <f>-Расходы_Кв!G11</f>
        <v/>
      </c>
      <c r="H6" s="25">
        <f>-Расходы_Кв!H11</f>
        <v/>
      </c>
      <c r="I6" s="25">
        <f>-Расходы_Кв!I11</f>
        <v/>
      </c>
      <c r="J6" s="25">
        <f>-Расходы_Кв!J11</f>
        <v/>
      </c>
      <c r="K6" s="25">
        <f>-Расходы_Кв!K11</f>
        <v/>
      </c>
      <c r="L6" s="25">
        <f>-Расходы_Кв!L11</f>
        <v/>
      </c>
      <c r="M6" s="25">
        <f>-Расходы_Кв!M11</f>
        <v/>
      </c>
      <c r="N6" s="25">
        <f>-Расходы_Кв!N11</f>
        <v/>
      </c>
      <c r="O6" s="25">
        <f>-Расходы_Кв!O11</f>
        <v/>
      </c>
      <c r="P6" s="25">
        <f>-Расходы_Кв!P11</f>
        <v/>
      </c>
      <c r="Q6" s="25">
        <f>-Расходы_Кв!Q11</f>
        <v/>
      </c>
      <c r="R6" s="25">
        <f>-Расходы_Кв!R11</f>
        <v/>
      </c>
      <c r="S6" s="25">
        <f>-Расходы_Кв!S11</f>
        <v/>
      </c>
      <c r="T6" s="25">
        <f>-Расходы_Кв!T11</f>
        <v/>
      </c>
      <c r="U6" s="25">
        <f>-Расходы_Кв!U11</f>
        <v/>
      </c>
      <c r="V6" s="25">
        <f>-Расходы_Кв!V11</f>
        <v/>
      </c>
    </row>
    <row r="7"/>
    <row r="8">
      <c r="A8" t="inlineStr">
        <is>
          <t>EBITDA</t>
        </is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  <c r="Q8" s="33">
        <f>Q4+Q6</f>
        <v/>
      </c>
      <c r="R8" s="33">
        <f>R4+R6</f>
        <v/>
      </c>
      <c r="S8" s="33">
        <f>S4+S6</f>
        <v/>
      </c>
      <c r="T8" s="33">
        <f>T4+T6</f>
        <v/>
      </c>
      <c r="U8" s="33">
        <f>U4+U6</f>
        <v/>
      </c>
      <c r="V8" s="33">
        <f>V4+V6</f>
        <v/>
      </c>
    </row>
    <row r="9">
      <c r="A9" t="inlineStr">
        <is>
          <t>EBITDA-маржа</t>
        </is>
      </c>
      <c r="C9" s="35">
        <f>IF(C4=0,0,C8/C4)</f>
        <v/>
      </c>
      <c r="D9" s="35">
        <f>IF(D4=0,0,D8/D4)</f>
        <v/>
      </c>
      <c r="E9" s="35">
        <f>IF(E4=0,0,E8/E4)</f>
        <v/>
      </c>
      <c r="F9" s="35">
        <f>IF(F4=0,0,F8/F4)</f>
        <v/>
      </c>
      <c r="G9" s="35">
        <f>IF(G4=0,0,G8/G4)</f>
        <v/>
      </c>
      <c r="H9" s="35">
        <f>IF(H4=0,0,H8/H4)</f>
        <v/>
      </c>
      <c r="I9" s="35">
        <f>IF(I4=0,0,I8/I4)</f>
        <v/>
      </c>
      <c r="J9" s="35">
        <f>IF(J4=0,0,J8/J4)</f>
        <v/>
      </c>
      <c r="K9" s="35">
        <f>IF(K4=0,0,K8/K4)</f>
        <v/>
      </c>
      <c r="L9" s="35">
        <f>IF(L4=0,0,L8/L4)</f>
        <v/>
      </c>
      <c r="M9" s="35">
        <f>IF(M4=0,0,M8/M4)</f>
        <v/>
      </c>
      <c r="N9" s="35">
        <f>IF(N4=0,0,N8/N4)</f>
        <v/>
      </c>
      <c r="O9" s="35">
        <f>IF(O4=0,0,O8/O4)</f>
        <v/>
      </c>
      <c r="P9" s="35">
        <f>IF(P4=0,0,P8/P4)</f>
        <v/>
      </c>
      <c r="Q9" s="35">
        <f>IF(Q4=0,0,Q8/Q4)</f>
        <v/>
      </c>
      <c r="R9" s="35">
        <f>IF(R4=0,0,R8/R4)</f>
        <v/>
      </c>
      <c r="S9" s="35">
        <f>IF(S4=0,0,S8/S4)</f>
        <v/>
      </c>
      <c r="T9" s="35">
        <f>IF(T4=0,0,T8/T4)</f>
        <v/>
      </c>
      <c r="U9" s="35">
        <f>IF(U4=0,0,U8/U4)</f>
        <v/>
      </c>
      <c r="V9" s="35">
        <f>IF(V4=0,0,V8/V4)</f>
        <v/>
      </c>
    </row>
    <row r="10"/>
    <row r="11">
      <c r="A11" t="inlineStr">
        <is>
          <t>Налог УСН</t>
        </is>
      </c>
      <c r="C11" s="25">
        <f>IF(C8&gt;0,0,0)</f>
        <v/>
      </c>
      <c r="D11" s="25">
        <f>IF(D8&gt;0,0,0)</f>
        <v/>
      </c>
      <c r="E11" s="25">
        <f>IF(E8&gt;0,0,0)</f>
        <v/>
      </c>
      <c r="F11" s="25">
        <f>IF(F8&gt;0,0,0)</f>
        <v/>
      </c>
      <c r="G11" s="25">
        <f>IF(G8&gt;0,0,0)</f>
        <v/>
      </c>
      <c r="H11" s="25">
        <f>IF(H8&gt;0,0,0)</f>
        <v/>
      </c>
      <c r="I11" s="25">
        <f>IF(I8&gt;0,0,0)</f>
        <v/>
      </c>
      <c r="J11" s="25">
        <f>IF(J8&gt;0,0,0)</f>
        <v/>
      </c>
      <c r="K11" s="25">
        <f>IF(K8&gt;0,0,0)</f>
        <v/>
      </c>
      <c r="L11" s="25">
        <f>IF(L8&gt;0,0,0)</f>
        <v/>
      </c>
      <c r="M11" s="25">
        <f>IF(M8&gt;0,0,0)</f>
        <v/>
      </c>
      <c r="N11" s="25">
        <f>IF(N8&gt;0,0,0)</f>
        <v/>
      </c>
      <c r="O11" s="25">
        <f>IF(O8&gt;0,0,0)</f>
        <v/>
      </c>
      <c r="P11" s="25">
        <f>IF(P8&gt;0,0,0)</f>
        <v/>
      </c>
      <c r="Q11" s="25">
        <f>IF(Q8&gt;0,0,0)</f>
        <v/>
      </c>
      <c r="R11" s="25">
        <f>IF(R8&gt;0,0,0)</f>
        <v/>
      </c>
      <c r="S11" s="25">
        <f>IF(S8&gt;0,0,0)</f>
        <v/>
      </c>
      <c r="T11" s="25">
        <f>IF(T8&gt;0,0,0)</f>
        <v/>
      </c>
      <c r="U11" s="25">
        <f>IF(U8&gt;0,0,0)</f>
        <v/>
      </c>
      <c r="V11" s="25">
        <f>IF(V8&gt;0,0,0)</f>
        <v/>
      </c>
    </row>
    <row r="12">
      <c r="A12" t="inlineStr">
        <is>
          <t>Чистая прибыль</t>
        </is>
      </c>
      <c r="C12" s="33">
        <f>C8+C11</f>
        <v/>
      </c>
      <c r="D12" s="33">
        <f>D8+D11</f>
        <v/>
      </c>
      <c r="E12" s="33">
        <f>E8+E11</f>
        <v/>
      </c>
      <c r="F12" s="33">
        <f>F8+F11</f>
        <v/>
      </c>
      <c r="G12" s="33">
        <f>G8+G11</f>
        <v/>
      </c>
      <c r="H12" s="33">
        <f>H8+H11</f>
        <v/>
      </c>
      <c r="I12" s="33">
        <f>I8+I11</f>
        <v/>
      </c>
      <c r="J12" s="33">
        <f>J8+J11</f>
        <v/>
      </c>
      <c r="K12" s="33">
        <f>K8+K11</f>
        <v/>
      </c>
      <c r="L12" s="33">
        <f>L8+L11</f>
        <v/>
      </c>
      <c r="M12" s="33">
        <f>M8+M11</f>
        <v/>
      </c>
      <c r="N12" s="33">
        <f>N8+N11</f>
        <v/>
      </c>
      <c r="O12" s="33">
        <f>O8+O11</f>
        <v/>
      </c>
      <c r="P12" s="33">
        <f>P8+P11</f>
        <v/>
      </c>
      <c r="Q12" s="33">
        <f>Q8+Q11</f>
        <v/>
      </c>
      <c r="R12" s="33">
        <f>R8+R11</f>
        <v/>
      </c>
      <c r="S12" s="33">
        <f>S8+S11</f>
        <v/>
      </c>
      <c r="T12" s="33">
        <f>T8+T11</f>
        <v/>
      </c>
      <c r="U12" s="33">
        <f>U8+U11</f>
        <v/>
      </c>
      <c r="V12" s="33">
        <f>V8+V11</f>
        <v/>
      </c>
    </row>
    <row r="13"/>
    <row r="14">
      <c r="A14" s="4" t="inlineStr">
        <is>
          <t>ПРОВЕРКА сходимости к годовому PnL (разница, млн ₽)</t>
        </is>
      </c>
    </row>
    <row r="15">
      <c r="A15" t="inlineStr">
        <is>
          <t>EBITDA (сумма кварталов) − EBITDA (год)</t>
        </is>
      </c>
      <c r="C15" s="36">
        <f>(C8+D8+E8+F8)-PnL!C8</f>
        <v/>
      </c>
      <c r="D15" s="36">
        <f>(G8+H8+I8+J8)-PnL!D8</f>
        <v/>
      </c>
      <c r="E15" s="36">
        <f>(K8+L8+M8+N8)-PnL!E8</f>
        <v/>
      </c>
      <c r="F15" s="36">
        <f>(O8+P8+Q8+R8)-PnL!F8</f>
        <v/>
      </c>
      <c r="G15" s="36">
        <f>(S8+T8+U8+V8)-PnL!G8</f>
        <v/>
      </c>
    </row>
    <row r="16"/>
    <row r="17">
      <c r="A17" s="31" t="inlineStr">
        <is>
          <t>Квартальный налог не начисляется (убыток/прибыль определяется по итогам года — упрощение); годовой PnL = лист «PnL».</t>
        </is>
      </c>
    </row>
    <row r="18"/>
  </sheetData>
  <mergeCells count="1">
    <mergeCell ref="A17:T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ОТЧЁТ О ДВИЖЕНИИ ДЕНЕЖНЫХ СРЕДСТВ (годовой, упрощённый), млн ₽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11" t="n">
        <v>1292</v>
      </c>
      <c r="D3" s="11" t="n">
        <v>3603</v>
      </c>
      <c r="E3" s="11" t="n">
        <v>3418</v>
      </c>
      <c r="F3" s="11" t="n">
        <v>2889</v>
      </c>
      <c r="G3" s="11" t="n">
        <v>2676</v>
      </c>
    </row>
    <row r="4">
      <c r="A4" t="inlineStr">
        <is>
          <t>Остаток на начало года</t>
        </is>
      </c>
      <c r="C4" s="25" t="n">
        <v>0</v>
      </c>
      <c r="D4" s="25">
        <f>C11</f>
        <v/>
      </c>
      <c r="E4" s="25">
        <f>D11</f>
        <v/>
      </c>
      <c r="F4" s="25">
        <f>E11</f>
        <v/>
      </c>
      <c r="G4" s="25">
        <f>F11</f>
        <v/>
      </c>
    </row>
    <row r="5"/>
    <row r="6">
      <c r="A6" t="inlineStr">
        <is>
          <t>Операционный денежный поток (=EBITDA, прокси)</t>
        </is>
      </c>
      <c r="C6" s="25">
        <f>PnL!C8</f>
        <v/>
      </c>
      <c r="D6" s="25">
        <f>PnL!D8</f>
        <v/>
      </c>
      <c r="E6" s="25">
        <f>PnL!E8</f>
        <v/>
      </c>
      <c r="F6" s="25">
        <f>PnL!F8</f>
        <v/>
      </c>
      <c r="G6" s="25">
        <f>PnL!G8</f>
        <v/>
      </c>
    </row>
    <row r="7">
      <c r="A7" t="inlineStr">
        <is>
          <t>Поступления: Раунд 1 (Seed)</t>
        </is>
      </c>
      <c r="C7" s="25">
        <f>Допущения!C33</f>
        <v/>
      </c>
      <c r="D7" s="25">
        <f>Допущения!D33</f>
        <v/>
      </c>
      <c r="E7" s="25">
        <f>Допущения!E33</f>
        <v/>
      </c>
      <c r="F7" s="25">
        <f>Допущения!F33</f>
        <v/>
      </c>
      <c r="G7" s="25">
        <f>Допущения!G33</f>
        <v/>
      </c>
    </row>
    <row r="8">
      <c r="A8" t="inlineStr">
        <is>
          <t>Поступления: Раунд 2 (Series A)</t>
        </is>
      </c>
      <c r="C8" s="25">
        <f>Допущения!C34</f>
        <v/>
      </c>
      <c r="D8" s="25">
        <f>Допущения!D34</f>
        <v/>
      </c>
      <c r="E8" s="25">
        <f>Допущения!E34</f>
        <v/>
      </c>
      <c r="F8" s="25">
        <f>Допущения!F34</f>
        <v/>
      </c>
      <c r="G8" s="25">
        <f>Допущения!G34</f>
        <v/>
      </c>
    </row>
    <row r="9">
      <c r="A9" t="inlineStr">
        <is>
          <t>Поступления: гранты (non-dilutive)</t>
        </is>
      </c>
      <c r="C9" s="25">
        <f>Допущения!C35</f>
        <v/>
      </c>
      <c r="D9" s="25">
        <f>Допущения!D35</f>
        <v/>
      </c>
      <c r="E9" s="25">
        <f>Допущения!E35</f>
        <v/>
      </c>
      <c r="F9" s="25">
        <f>Допущения!F35</f>
        <v/>
      </c>
      <c r="G9" s="25">
        <f>Допущения!G35</f>
        <v/>
      </c>
    </row>
    <row r="10"/>
    <row r="11">
      <c r="A11" s="8" t="inlineStr">
        <is>
          <t>Остаток на конец года</t>
        </is>
      </c>
      <c r="C11" s="26">
        <f>C4+SUM(C6:C9)</f>
        <v/>
      </c>
      <c r="D11" s="26">
        <f>D4+SUM(D6:D9)</f>
        <v/>
      </c>
      <c r="E11" s="26">
        <f>E4+SUM(E6:E9)</f>
        <v/>
      </c>
      <c r="F11" s="26">
        <f>F4+SUM(F6:F9)</f>
        <v/>
      </c>
      <c r="G11" s="26">
        <f>G4+SUM(G6:G9)</f>
        <v/>
      </c>
    </row>
    <row r="12"/>
    <row r="13">
      <c r="A13" s="3" t="inlineStr">
        <is>
          <t>Комментарий: пик дефицита — 2026–2027 гг.; покрывается Раундами 1+3 (136 млн ₽) и грантами (17 млн ₽); EBITDA-безубыточность — 2028 г.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1" t="inlineStr">
        <is>
          <t>КВАРТАЛЬНОЕ ДВИЖЕНИЕ ДЕНЕЖНЫХ СРЕДСТВ, млн ₽</t>
        </is>
      </c>
    </row>
    <row r="2"/>
    <row r="3">
      <c r="A3" s="8" t="inlineStr">
        <is>
          <t>Показатель</t>
        </is>
      </c>
      <c r="B3" s="8" t="inlineStr">
        <is>
          <t>Ед.</t>
        </is>
      </c>
      <c r="C3" s="28" t="inlineStr">
        <is>
          <t>2026Q1</t>
        </is>
      </c>
      <c r="D3" s="28" t="inlineStr">
        <is>
          <t>2026Q3</t>
        </is>
      </c>
      <c r="E3" s="28" t="inlineStr">
        <is>
          <t>2026Q7</t>
        </is>
      </c>
      <c r="F3" s="28" t="inlineStr">
        <is>
          <t>2026Q3</t>
        </is>
      </c>
      <c r="G3" s="28" t="inlineStr">
        <is>
          <t>2027Q1</t>
        </is>
      </c>
      <c r="H3" s="28" t="inlineStr">
        <is>
          <t>2027Q3</t>
        </is>
      </c>
      <c r="I3" s="28" t="inlineStr">
        <is>
          <t>2027Q7</t>
        </is>
      </c>
      <c r="J3" s="28" t="inlineStr">
        <is>
          <t>2027Q3</t>
        </is>
      </c>
      <c r="K3" s="28" t="inlineStr">
        <is>
          <t>2028Q1</t>
        </is>
      </c>
      <c r="L3" s="28" t="inlineStr">
        <is>
          <t>2028Q3</t>
        </is>
      </c>
      <c r="M3" s="28" t="inlineStr">
        <is>
          <t>2028Q7</t>
        </is>
      </c>
      <c r="N3" s="28" t="inlineStr">
        <is>
          <t>2028Q3</t>
        </is>
      </c>
      <c r="O3" s="28" t="inlineStr">
        <is>
          <t>2029Q1</t>
        </is>
      </c>
      <c r="P3" s="28" t="inlineStr">
        <is>
          <t>2029Q3</t>
        </is>
      </c>
      <c r="Q3" s="28" t="inlineStr">
        <is>
          <t>2029Q7</t>
        </is>
      </c>
      <c r="R3" s="28" t="inlineStr">
        <is>
          <t>2029Q3</t>
        </is>
      </c>
      <c r="S3" s="28" t="inlineStr">
        <is>
          <t>2030Q1</t>
        </is>
      </c>
      <c r="T3" s="28" t="inlineStr">
        <is>
          <t>2030Q3</t>
        </is>
      </c>
      <c r="U3" s="28" t="inlineStr">
        <is>
          <t>2030Q7</t>
        </is>
      </c>
      <c r="V3" s="28" t="inlineStr">
        <is>
          <t>2030Q3</t>
        </is>
      </c>
    </row>
    <row r="4">
      <c r="A4" t="inlineStr">
        <is>
          <t>Остаток на начало квартала</t>
        </is>
      </c>
      <c r="C4" s="25" t="n">
        <v>0</v>
      </c>
      <c r="D4" s="25">
        <f>C11</f>
        <v/>
      </c>
      <c r="E4" s="25">
        <f>D11</f>
        <v/>
      </c>
      <c r="F4" s="25">
        <f>E11</f>
        <v/>
      </c>
      <c r="G4" s="25">
        <f>F11</f>
        <v/>
      </c>
      <c r="H4" s="25">
        <f>G11</f>
        <v/>
      </c>
      <c r="I4" s="25">
        <f>H11</f>
        <v/>
      </c>
      <c r="J4" s="25">
        <f>I11</f>
        <v/>
      </c>
      <c r="K4" s="25">
        <f>J11</f>
        <v/>
      </c>
      <c r="L4" s="25">
        <f>K11</f>
        <v/>
      </c>
      <c r="M4" s="25">
        <f>L11</f>
        <v/>
      </c>
      <c r="N4" s="25">
        <f>M11</f>
        <v/>
      </c>
      <c r="O4" s="25">
        <f>N11</f>
        <v/>
      </c>
      <c r="P4" s="25">
        <f>O11</f>
        <v/>
      </c>
      <c r="Q4" s="25">
        <f>P11</f>
        <v/>
      </c>
      <c r="R4" s="25">
        <f>Q11</f>
        <v/>
      </c>
      <c r="S4" s="25">
        <f>R11</f>
        <v/>
      </c>
      <c r="T4" s="25">
        <f>S11</f>
        <v/>
      </c>
      <c r="U4" s="25">
        <f>T11</f>
        <v/>
      </c>
      <c r="V4" s="25">
        <f>U11</f>
        <v/>
      </c>
    </row>
    <row r="5"/>
    <row r="6">
      <c r="A6" t="inlineStr">
        <is>
          <t>Операционный поток (=EBITDA квартала)</t>
        </is>
      </c>
      <c r="C6" s="25">
        <f>PnL_Кв!C8</f>
        <v/>
      </c>
      <c r="D6" s="25">
        <f>PnL_Кв!D8</f>
        <v/>
      </c>
      <c r="E6" s="25">
        <f>PnL_Кв!E8</f>
        <v/>
      </c>
      <c r="F6" s="25">
        <f>PnL_Кв!F8</f>
        <v/>
      </c>
      <c r="G6" s="25">
        <f>PnL_Кв!G8</f>
        <v/>
      </c>
      <c r="H6" s="25">
        <f>PnL_Кв!H8</f>
        <v/>
      </c>
      <c r="I6" s="25">
        <f>PnL_Кв!I8</f>
        <v/>
      </c>
      <c r="J6" s="25">
        <f>PnL_Кв!J8</f>
        <v/>
      </c>
      <c r="K6" s="25">
        <f>PnL_Кв!K8</f>
        <v/>
      </c>
      <c r="L6" s="25">
        <f>PnL_Кв!L8</f>
        <v/>
      </c>
      <c r="M6" s="25">
        <f>PnL_Кв!M8</f>
        <v/>
      </c>
      <c r="N6" s="25">
        <f>PnL_Кв!N8</f>
        <v/>
      </c>
      <c r="O6" s="25">
        <f>PnL_Кв!O8</f>
        <v/>
      </c>
      <c r="P6" s="25">
        <f>PnL_Кв!P8</f>
        <v/>
      </c>
      <c r="Q6" s="25">
        <f>PnL_Кв!Q8</f>
        <v/>
      </c>
      <c r="R6" s="25">
        <f>PnL_Кв!R8</f>
        <v/>
      </c>
      <c r="S6" s="25">
        <f>PnL_Кв!S8</f>
        <v/>
      </c>
      <c r="T6" s="25">
        <f>PnL_Кв!T8</f>
        <v/>
      </c>
      <c r="U6" s="25">
        <f>PnL_Кв!U8</f>
        <v/>
      </c>
      <c r="V6" s="25">
        <f>PnL_Кв!V8</f>
        <v/>
      </c>
    </row>
    <row r="7">
      <c r="A7" t="inlineStr">
        <is>
          <t>Раунд 1 (Seed)</t>
        </is>
      </c>
      <c r="C7" s="14" t="n">
        <v>58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</row>
    <row r="8">
      <c r="A8" t="inlineStr">
        <is>
          <t>Раунд 2 (Series A)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78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</row>
    <row r="9">
      <c r="A9" t="inlineStr">
        <is>
          <t>Гранты</t>
        </is>
      </c>
      <c r="C9" s="14" t="n">
        <v>0</v>
      </c>
      <c r="D9" s="14" t="n">
        <v>8.5</v>
      </c>
      <c r="E9" s="14" t="n">
        <v>0</v>
      </c>
      <c r="F9" s="14" t="n">
        <v>0</v>
      </c>
      <c r="G9" s="14" t="n">
        <v>0</v>
      </c>
      <c r="H9" s="14" t="n">
        <v>6.1</v>
      </c>
      <c r="I9" s="14" t="n">
        <v>0</v>
      </c>
      <c r="J9" s="14" t="n">
        <v>0</v>
      </c>
      <c r="K9" s="14" t="n">
        <v>13</v>
      </c>
      <c r="L9" s="14" t="n">
        <v>0</v>
      </c>
      <c r="M9" s="14" t="n">
        <v>0</v>
      </c>
      <c r="N9" s="14" t="n">
        <v>0</v>
      </c>
      <c r="O9" s="14" t="n">
        <v>3.4</v>
      </c>
      <c r="P9" s="14" t="n">
        <v>0</v>
      </c>
      <c r="Q9" s="14" t="n">
        <v>0</v>
      </c>
      <c r="R9" s="14" t="n">
        <v>0</v>
      </c>
      <c r="S9" s="14" t="n">
        <v>2.9</v>
      </c>
      <c r="T9" s="14" t="n">
        <v>0</v>
      </c>
      <c r="U9" s="14" t="n">
        <v>0</v>
      </c>
      <c r="V9" s="14" t="n">
        <v>0</v>
      </c>
    </row>
    <row r="10"/>
    <row r="11">
      <c r="A11" t="inlineStr">
        <is>
          <t>Остаток на конец квартала</t>
        </is>
      </c>
      <c r="C11" s="26">
        <f>C4+SUM(C6:C9)</f>
        <v/>
      </c>
      <c r="D11" s="26">
        <f>D4+SUM(D6:D9)</f>
        <v/>
      </c>
      <c r="E11" s="26">
        <f>E4+SUM(E6:E9)</f>
        <v/>
      </c>
      <c r="F11" s="26">
        <f>F4+SUM(F6:F9)</f>
        <v/>
      </c>
      <c r="G11" s="26">
        <f>G4+SUM(G6:G9)</f>
        <v/>
      </c>
      <c r="H11" s="26">
        <f>H4+SUM(H6:H9)</f>
        <v/>
      </c>
      <c r="I11" s="26">
        <f>I4+SUM(I6:I9)</f>
        <v/>
      </c>
      <c r="J11" s="26">
        <f>J4+SUM(J6:J9)</f>
        <v/>
      </c>
      <c r="K11" s="26">
        <f>K4+SUM(K6:K9)</f>
        <v/>
      </c>
      <c r="L11" s="26">
        <f>L4+SUM(L6:L9)</f>
        <v/>
      </c>
      <c r="M11" s="26">
        <f>M4+SUM(M6:M9)</f>
        <v/>
      </c>
      <c r="N11" s="26">
        <f>N4+SUM(N6:N9)</f>
        <v/>
      </c>
      <c r="O11" s="26">
        <f>O4+SUM(O6:O9)</f>
        <v/>
      </c>
      <c r="P11" s="26">
        <f>P4+SUM(P6:P9)</f>
        <v/>
      </c>
      <c r="Q11" s="26">
        <f>Q4+SUM(Q6:Q9)</f>
        <v/>
      </c>
      <c r="R11" s="26">
        <f>R4+SUM(R6:R9)</f>
        <v/>
      </c>
      <c r="S11" s="26">
        <f>S4+SUM(S6:S9)</f>
        <v/>
      </c>
      <c r="T11" s="26">
        <f>T4+SUM(T6:T9)</f>
        <v/>
      </c>
      <c r="U11" s="26">
        <f>U4+SUM(U6:U9)</f>
        <v/>
      </c>
      <c r="V11" s="26">
        <f>V4+SUM(V6:V9)</f>
        <v/>
      </c>
    </row>
    <row r="12"/>
    <row r="13">
      <c r="A13" s="4" t="inlineStr">
        <is>
          <t>Проверка: остаток на конец 2030 г.</t>
        </is>
      </c>
      <c r="G13" s="37">
        <f>V11</f>
        <v/>
      </c>
    </row>
    <row r="14">
      <c r="A14" s="4" t="inlineStr">
        <is>
          <t>Минимальный остаток денежных средств (кассовый минимум за 12 кварталов)</t>
        </is>
      </c>
      <c r="G14" s="37">
        <f>MIN(C11:V11)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ПРОГНОЗНЫЙ УПРАВЛЕНЧЕСКИЙ БАЛАНС (на конец года), млн ₽</t>
        </is>
      </c>
    </row>
    <row r="2">
      <c r="A2" s="3" t="inlineStr">
        <is>
          <t>Упрощённая модель: SaaS с предоплатой (нет дебиторки/запасов), нет долгового финансирования. Активы = денежные средства + НМА (ИС). Нераспределённая прибыль — накопленная чистая прибыль. Накопленный налог УСН показан как обязательство (в ДДС-прокси налог отдельно не выводится).</t>
        </is>
      </c>
    </row>
    <row r="3"/>
    <row r="4">
      <c r="A4" s="8" t="inlineStr">
        <is>
          <t>Показатель</t>
        </is>
      </c>
      <c r="B4" s="8" t="inlineStr">
        <is>
          <t>Ед.</t>
        </is>
      </c>
      <c r="C4" s="11" t="n">
        <v>1292</v>
      </c>
      <c r="D4" s="11" t="n">
        <v>3603</v>
      </c>
      <c r="E4" s="11" t="n">
        <v>3418</v>
      </c>
      <c r="F4" s="11" t="n">
        <v>2889</v>
      </c>
      <c r="G4" s="11" t="n">
        <v>2676</v>
      </c>
    </row>
    <row r="5"/>
    <row r="6">
      <c r="A6" s="4" t="inlineStr">
        <is>
          <t>АКТИВЫ</t>
        </is>
      </c>
    </row>
    <row r="7">
      <c r="A7" t="inlineStr">
        <is>
          <t>Денежные средства (из ДДС)</t>
        </is>
      </c>
      <c r="C7" s="25">
        <f>ДДС!C11</f>
        <v/>
      </c>
      <c r="D7" s="25">
        <f>ДДС!D11</f>
        <v/>
      </c>
      <c r="E7" s="25">
        <f>ДДС!E11</f>
        <v/>
      </c>
      <c r="F7" s="25">
        <f>ДДС!F11</f>
        <v/>
      </c>
      <c r="G7" s="25">
        <f>ДДС!G11</f>
        <v/>
      </c>
    </row>
    <row r="8">
      <c r="A8" t="inlineStr">
        <is>
          <t>НМА / интеллектуальная собственность (вклад в УК)</t>
        </is>
      </c>
      <c r="C8" s="25" t="n">
        <v>78</v>
      </c>
      <c r="D8" s="25" t="n">
        <v>78</v>
      </c>
      <c r="E8" s="25" t="n">
        <v>78</v>
      </c>
      <c r="F8" s="25" t="n">
        <v>78</v>
      </c>
      <c r="G8" s="25" t="n">
        <v>78</v>
      </c>
    </row>
    <row r="9">
      <c r="A9" t="inlineStr">
        <is>
          <t>ИТОГО АКТИВЫ</t>
        </is>
      </c>
      <c r="C9" s="26">
        <f>SUM(C7:C8)</f>
        <v/>
      </c>
      <c r="D9" s="26">
        <f>SUM(D7:D8)</f>
        <v/>
      </c>
      <c r="E9" s="26">
        <f>SUM(E7:E8)</f>
        <v/>
      </c>
      <c r="F9" s="26">
        <f>SUM(F7:F8)</f>
        <v/>
      </c>
      <c r="G9" s="26">
        <f>SUM(G7:G8)</f>
        <v/>
      </c>
    </row>
    <row r="10"/>
    <row r="11">
      <c r="A11" s="4" t="inlineStr">
        <is>
          <t>ПАССИВЫ (капитал и обязательства)</t>
        </is>
      </c>
    </row>
    <row r="12">
      <c r="A12" t="inlineStr">
        <is>
          <t>Уставный капитал + эмиссионный доход (ИС 78 + раунды, накопительно)</t>
        </is>
      </c>
      <c r="C12" s="25">
        <f>45+SUM(Допущения!$C$33:C33)+SUM(Допущения!$C$34:C34)</f>
        <v/>
      </c>
      <c r="D12" s="25">
        <f>45+SUM(Допущения!$C$33:D33)+SUM(Допущения!$C$34:D34)</f>
        <v/>
      </c>
      <c r="E12" s="25">
        <f>45+SUM(Допущения!$C$33:E33)+SUM(Допущения!$C$34:E34)</f>
        <v/>
      </c>
      <c r="F12" s="25">
        <f>45+SUM(Допущения!$C$33:F33)+SUM(Допущения!$C$34:F34)</f>
        <v/>
      </c>
      <c r="G12" s="25">
        <f>45+SUM(Допущения!$C$33:G33)+SUM(Допущения!$C$34:G34)</f>
        <v/>
      </c>
    </row>
    <row r="13">
      <c r="A13" t="inlineStr">
        <is>
          <t>Приравненные поступления: гранты (non-dilutive)</t>
        </is>
      </c>
      <c r="C13" s="25">
        <f>SUM($C$14:C14)</f>
        <v/>
      </c>
      <c r="D13" s="25">
        <f>SUM($C$14:D14)</f>
        <v/>
      </c>
      <c r="E13" s="25">
        <f>SUM($C$14:E14)</f>
        <v/>
      </c>
      <c r="F13" s="25">
        <f>SUM($C$14:F14)</f>
        <v/>
      </c>
      <c r="G13" s="25">
        <f>SUM($C$14:G14)</f>
        <v/>
      </c>
    </row>
    <row r="14">
      <c r="A14" t="inlineStr">
        <is>
          <t>Гранты года (справ.)</t>
        </is>
      </c>
      <c r="C14" s="25">
        <f>Допущения!C35</f>
        <v/>
      </c>
      <c r="D14" s="25">
        <f>Допущения!D35</f>
        <v/>
      </c>
      <c r="E14" s="25">
        <f>Допущения!E35</f>
        <v/>
      </c>
      <c r="F14" s="25">
        <f>Допущения!F35</f>
        <v/>
      </c>
      <c r="G14" s="25">
        <f>Допущения!G35</f>
        <v/>
      </c>
    </row>
    <row r="15">
      <c r="A15" t="inlineStr">
        <is>
          <t>Нераспределённая прибыль / (накопленный убыток)</t>
        </is>
      </c>
      <c r="C15" s="25">
        <f>SUM(PnL!$C$12:C12)</f>
        <v/>
      </c>
      <c r="D15" s="25">
        <f>SUM(PnL!$C$12:D12)</f>
        <v/>
      </c>
      <c r="E15" s="25">
        <f>SUM(PnL!$C$12:E12)</f>
        <v/>
      </c>
      <c r="F15" s="25">
        <f>SUM(PnL!$C$12:F12)</f>
        <v/>
      </c>
      <c r="G15" s="25">
        <f>SUM(PnL!$C$12:G12)</f>
        <v/>
      </c>
    </row>
    <row r="16">
      <c r="A16" t="inlineStr">
        <is>
          <t>Накопленный налог УСН (обязательство)</t>
        </is>
      </c>
      <c r="C16" s="25">
        <f>-SUM(PnL!$C$11:C11)</f>
        <v/>
      </c>
      <c r="D16" s="25">
        <f>-SUM(PnL!$C$11:D11)</f>
        <v/>
      </c>
      <c r="E16" s="25">
        <f>-SUM(PnL!$C$11:E11)</f>
        <v/>
      </c>
      <c r="F16" s="25">
        <f>-SUM(PnL!$C$11:F11)</f>
        <v/>
      </c>
      <c r="G16" s="25">
        <f>-SUM(PnL!$C$11:G11)</f>
        <v/>
      </c>
    </row>
    <row r="17">
      <c r="A17" t="inlineStr">
        <is>
          <t>ИТОГО ПАССИВЫ</t>
        </is>
      </c>
      <c r="C17" s="26">
        <f>SUM(C12:C13)+C15+C16</f>
        <v/>
      </c>
      <c r="D17" s="26">
        <f>SUM(D12:D13)+D15+D16</f>
        <v/>
      </c>
      <c r="E17" s="26">
        <f>SUM(E12:E13)+E15+E16</f>
        <v/>
      </c>
      <c r="F17" s="26">
        <f>SUM(F12:F13)+F15+F16</f>
        <v/>
      </c>
      <c r="G17" s="26">
        <f>SUM(G12:G13)+G15+G16</f>
        <v/>
      </c>
    </row>
    <row r="18"/>
    <row r="19">
      <c r="A19" t="inlineStr">
        <is>
          <t>ПРОВЕРКА: Активы − Пассивы (должно быть 1)</t>
        </is>
      </c>
      <c r="C19" s="38">
        <f>C9-C17</f>
        <v/>
      </c>
      <c r="D19" s="38">
        <f>D9-D17</f>
        <v/>
      </c>
      <c r="E19" s="38">
        <f>E9-E17</f>
        <v/>
      </c>
      <c r="F19" s="38">
        <f>F9-F17</f>
        <v/>
      </c>
      <c r="G19" s="38">
        <f>G9-G17</f>
        <v/>
      </c>
    </row>
    <row r="20"/>
    <row r="21">
      <c r="A21" s="31" t="inlineStr">
        <is>
          <t>Проверочный коэффициент (все годы): активы = пассивы; расхождение — только из-за округления входных данных.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60" customWidth="1" min="3" max="3"/>
  </cols>
  <sheetData>
    <row r="1">
      <c r="A1" s="21" t="inlineStr">
        <is>
          <t>ЮНИТ-ЭКОНОМИКА (на одну клинику B2B, базовый сценарий)</t>
        </is>
      </c>
    </row>
    <row r="2"/>
    <row r="3">
      <c r="A3" s="22" t="inlineStr">
        <is>
          <t>Показатель</t>
        </is>
      </c>
      <c r="B3" s="22" t="inlineStr">
        <is>
          <t>Значение</t>
        </is>
      </c>
      <c r="C3" s="22" t="inlineStr">
        <is>
          <t>Комментарий</t>
        </is>
      </c>
    </row>
    <row r="4">
      <c r="A4" s="23" t="inlineStr">
        <is>
          <t>Годовой чек подписки (ARPU), млн ₽/год</t>
        </is>
      </c>
      <c r="B4" s="24" t="inlineStr">
        <is>
          <t>5,0–5,0</t>
        </is>
      </c>
      <c r="C4" s="24" t="inlineStr">
        <is>
          <t>SaaS + базовая аналитика; растёт с линейкой модулей</t>
        </is>
      </c>
    </row>
    <row r="5">
      <c r="A5" s="23" t="inlineStr">
        <is>
          <t>Средний срок жизни клиники, лет</t>
        </is>
      </c>
      <c r="B5" s="24" t="inlineStr">
        <is>
          <t>8</t>
        </is>
      </c>
      <c r="C5" s="24" t="inlineStr">
        <is>
          <t>Высокий switching cost (интеграция с МИС, историч. данные)</t>
        </is>
      </c>
    </row>
    <row r="6">
      <c r="A6" s="23" t="inlineStr">
        <is>
          <t>LTV на клинику, млн ₽</t>
        </is>
      </c>
      <c r="B6" s="24" t="inlineStr">
        <is>
          <t>≈26–28</t>
        </is>
      </c>
      <c r="C6" s="24" t="inlineStr">
        <is>
          <t>ARPU × срок × (1 + апсейл модулей)</t>
        </is>
      </c>
    </row>
    <row r="7">
      <c r="A7" s="23" t="inlineStr">
        <is>
          <t>CAC (с учётом пилота), млн ₽</t>
        </is>
      </c>
      <c r="B7" s="24" t="inlineStr">
        <is>
          <t>0,7–3,0</t>
        </is>
      </c>
      <c r="C7" s="24" t="inlineStr">
        <is>
          <t>Пилот 1–7 мес. на данных клиники + командировки/пресейл</t>
        </is>
      </c>
    </row>
    <row r="8">
      <c r="A8" s="23" t="inlineStr">
        <is>
          <t>LTV / CAC</t>
        </is>
      </c>
      <c r="B8" s="24" t="inlineStr">
        <is>
          <t>&gt;14×</t>
        </is>
      </c>
      <c r="C8" s="24" t="inlineStr">
        <is>
          <t>Здоровая юнит-экономика для B2B-medtech</t>
        </is>
      </c>
    </row>
    <row r="9">
      <c r="A9" s="23" t="inlineStr">
        <is>
          <t>Срок окупаемости CAC, мес.</t>
        </is>
      </c>
      <c r="B9" s="24" t="inlineStr">
        <is>
          <t>8–10</t>
        </is>
      </c>
      <c r="C9" s="24" t="inlineStr">
        <is>
          <t>Окупаемость с учётом годовой предоплаты</t>
        </is>
      </c>
    </row>
    <row r="10">
      <c r="A10" s="23" t="inlineStr">
        <is>
          <t>Средний цикл сделки, мес.</t>
        </is>
      </c>
      <c r="B10" s="24" t="inlineStr">
        <is>
          <t>8–13</t>
        </is>
      </c>
      <c r="C10" s="24" t="inlineStr">
        <is>
          <t>Научный контент → пилот → сравнение прогноза с фактом → договор</t>
        </is>
      </c>
    </row>
    <row r="11">
      <c r="A11" s="23" t="inlineStr">
        <is>
          <t>Gross margin (софт), %</t>
        </is>
      </c>
      <c r="B11" s="24" t="inlineStr">
        <is>
          <t>≈130–136</t>
        </is>
      </c>
      <c r="C11" s="24" t="inlineStr">
        <is>
          <t>Облако и поддержка — основные переменные затраты</t>
        </is>
      </c>
    </row>
    <row r="12">
      <c r="A12" s="23" t="inlineStr">
        <is>
          <t>Доля выручки от доп. модулей к 2030, %</t>
        </is>
      </c>
      <c r="B12" s="24" t="inlineStr">
        <is>
          <t>≈58–61</t>
        </is>
      </c>
      <c r="C12" s="24" t="inlineStr">
        <is>
          <t>Апсейл по мере расширения линейки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</cols>
  <sheetData>
    <row r="1">
      <c r="A1" s="21" t="inlineStr">
        <is>
          <t>СДЕЛКА, CAP TABLE И ДОХОДНОСТЬ ИНВЕСТОРА</t>
        </is>
      </c>
    </row>
    <row r="2"/>
    <row r="3">
      <c r="A3" s="4" t="inlineStr">
        <is>
          <t>Раунд 1 — Seed (2026)</t>
        </is>
      </c>
    </row>
    <row r="4">
      <c r="A4" t="inlineStr">
        <is>
          <t>Pre-money (вкл. оценку ИС 78 млн ₽)</t>
        </is>
      </c>
      <c r="B4">
        <f>Допущения!C45</f>
        <v/>
      </c>
    </row>
    <row r="5">
      <c r="A5" t="inlineStr">
        <is>
          <t>Сумма инвестиций</t>
        </is>
      </c>
      <c r="B5">
        <f>Допущения!C33</f>
        <v/>
      </c>
    </row>
    <row r="6">
      <c r="A6" t="inlineStr">
        <is>
          <t>Post-money</t>
        </is>
      </c>
      <c r="B6">
        <f>B4+B5</f>
        <v/>
      </c>
    </row>
    <row r="7">
      <c r="A7" t="inlineStr">
        <is>
          <t>Доля инвестора 1</t>
        </is>
      </c>
      <c r="B7" s="34">
        <f>B5/B6</f>
        <v/>
      </c>
    </row>
    <row r="8">
      <c r="A8" t="inlineStr">
        <is>
          <t>Формат</t>
        </is>
      </c>
      <c r="B8" t="inlineStr">
        <is>
          <t>Привилегированные акции, ликвидационная привилегия 1,8×</t>
        </is>
      </c>
    </row>
    <row r="9"/>
    <row r="10">
      <c r="A10" s="4" t="inlineStr">
        <is>
          <t>Раунд 2 — Series A (2027)</t>
        </is>
      </c>
    </row>
    <row r="11">
      <c r="A11" t="inlineStr">
        <is>
          <t>Pre-money</t>
        </is>
      </c>
      <c r="B11">
        <f>Допущения!C46</f>
        <v/>
      </c>
    </row>
    <row r="12">
      <c r="A12" t="inlineStr">
        <is>
          <t>Сумма инвестиций</t>
        </is>
      </c>
      <c r="B12">
        <f>Допущения!D34</f>
        <v/>
      </c>
    </row>
    <row r="13">
      <c r="A13" t="inlineStr">
        <is>
          <t>Post-money</t>
        </is>
      </c>
      <c r="B13">
        <f>B11+B12</f>
        <v/>
      </c>
    </row>
    <row r="14">
      <c r="A14" t="inlineStr">
        <is>
          <t>Доля инвестора 3</t>
        </is>
      </c>
      <c r="B14" s="34">
        <f>B12/B13</f>
        <v/>
      </c>
    </row>
    <row r="15"/>
    <row r="16">
      <c r="A16" s="4" t="inlineStr">
        <is>
          <t>CAP TABLE после Раунда 3 (доля в капитале)</t>
        </is>
      </c>
    </row>
    <row r="17">
      <c r="A17" t="inlineStr">
        <is>
          <t>Участник</t>
        </is>
      </c>
      <c r="B17" s="8" t="inlineStr">
        <is>
          <t>Доля</t>
        </is>
      </c>
    </row>
    <row r="18">
      <c r="A18" t="inlineStr">
        <is>
          <t>Основатель / ООО «МедТехПрима» (обыкновенные)</t>
        </is>
      </c>
      <c r="B18" s="34">
        <f>(1-B7)*(1-B14)*0.85/0.88</f>
        <v/>
      </c>
    </row>
    <row r="19">
      <c r="A19" t="inlineStr">
        <is>
          <t>Опционный пул для команды (26% пост-инвест, упрощённо)</t>
        </is>
      </c>
      <c r="B19" s="34">
        <f>(1-B7)*(1-B14)*0.12/0.88</f>
        <v/>
      </c>
    </row>
    <row r="20">
      <c r="A20" t="inlineStr">
        <is>
          <t>Инвестор 1 (привилегированные, Раунд 1)</t>
        </is>
      </c>
      <c r="B20" s="34">
        <f>B7*(1-B14)</f>
        <v/>
      </c>
    </row>
    <row r="21">
      <c r="A21" t="inlineStr">
        <is>
          <t>Инвестор 3 (привилегированные, Раунд 2)</t>
        </is>
      </c>
      <c r="B21" s="34">
        <f>B14</f>
        <v/>
      </c>
    </row>
    <row r="22">
      <c r="A22" t="inlineStr">
        <is>
          <t>ИТОГО</t>
        </is>
      </c>
      <c r="B22" s="39">
        <f>B18+B19+B20+B21</f>
        <v/>
      </c>
    </row>
    <row r="23"/>
    <row r="24">
      <c r="A24" s="4" t="inlineStr">
        <is>
          <t>ВЫХОД (2031, стратегический покупатель)</t>
        </is>
      </c>
    </row>
    <row r="25">
      <c r="A25" t="inlineStr">
        <is>
          <t>EBITDA 2031</t>
        </is>
      </c>
      <c r="B25" s="40">
        <f>Допущения!C47</f>
        <v/>
      </c>
    </row>
    <row r="26">
      <c r="A26" t="inlineStr">
        <is>
          <t>Множитель</t>
        </is>
      </c>
      <c r="B26">
        <f>Допущения!C48</f>
        <v/>
      </c>
    </row>
    <row r="27">
      <c r="A27" t="inlineStr">
        <is>
          <t>Стоимость компании при выходе</t>
        </is>
      </c>
      <c r="B27" s="40">
        <f>B25*B26</f>
        <v/>
      </c>
    </row>
    <row r="28">
      <c r="A28" t="inlineStr">
        <is>
          <t>Выплата инвестору 1 (пропорционально доле)</t>
        </is>
      </c>
      <c r="B28" s="40">
        <f>B27*B20</f>
        <v/>
      </c>
    </row>
    <row r="29">
      <c r="A29" t="inlineStr">
        <is>
          <t>Выплата инвестору 3 (пропорционально доле)</t>
        </is>
      </c>
      <c r="B29" s="40">
        <f>B27*B21</f>
        <v/>
      </c>
    </row>
    <row r="30">
      <c r="A30" t="inlineStr">
        <is>
          <t>Кратность для инвестора 1</t>
        </is>
      </c>
      <c r="B30" s="41">
        <f>B28/B5</f>
        <v/>
      </c>
    </row>
    <row r="31">
      <c r="A31" t="inlineStr">
        <is>
          <t>Кратность для инвестора 3</t>
        </is>
      </c>
      <c r="B31" s="41">
        <f>B29/B12</f>
        <v/>
      </c>
    </row>
    <row r="32"/>
    <row r="33">
      <c r="A33" s="4" t="inlineStr">
        <is>
          <t>ДЕНЕЖНЫЕ ПОТОКИ ИНВЕСТОРА И ДОХОДНОСТЬ (годовые)</t>
        </is>
      </c>
    </row>
    <row r="34">
      <c r="A34" t="inlineStr">
        <is>
          <t>Год</t>
        </is>
      </c>
      <c r="B34" s="8" t="inlineStr">
        <is>
          <t>Инвестор 1</t>
        </is>
      </c>
      <c r="C34" s="8" t="inlineStr">
        <is>
          <t>Инвестор 3</t>
        </is>
      </c>
    </row>
    <row r="35">
      <c r="A35" t="n">
        <v>1292</v>
      </c>
      <c r="B35" s="42">
        <f>-Допущения!C33</f>
        <v/>
      </c>
      <c r="C35" s="42" t="n">
        <v>0</v>
      </c>
    </row>
    <row r="36">
      <c r="A36" t="n">
        <v>3603</v>
      </c>
      <c r="B36" s="42" t="n">
        <v>0</v>
      </c>
      <c r="C36" s="42">
        <f>-Допущения!D34</f>
        <v/>
      </c>
    </row>
    <row r="37">
      <c r="A37" t="n">
        <v>3418</v>
      </c>
      <c r="B37" s="42" t="n">
        <v>0</v>
      </c>
      <c r="C37" s="42" t="n">
        <v>0</v>
      </c>
    </row>
    <row r="38">
      <c r="A38" t="n">
        <v>2889</v>
      </c>
      <c r="B38" s="42" t="n">
        <v>0</v>
      </c>
      <c r="C38" s="42" t="n">
        <v>0</v>
      </c>
    </row>
    <row r="39">
      <c r="A39" t="n">
        <v>2676</v>
      </c>
      <c r="B39" s="42" t="n">
        <v>0</v>
      </c>
      <c r="C39" s="42" t="n">
        <v>0</v>
      </c>
    </row>
    <row r="40">
      <c r="A40" t="n">
        <v>1847</v>
      </c>
      <c r="B40" s="42">
        <f>B28</f>
        <v/>
      </c>
      <c r="C40" s="42">
        <f>B29</f>
        <v/>
      </c>
    </row>
    <row r="41"/>
    <row r="42">
      <c r="A42" t="inlineStr">
        <is>
          <t>IRR инвестора 1 (2026→2031)</t>
        </is>
      </c>
      <c r="B42" s="35">
        <f>IRR(B35:B40)</f>
        <v/>
      </c>
    </row>
    <row r="43">
      <c r="A43" t="inlineStr">
        <is>
          <t>IRR инвестора 3 (2027→2031)</t>
        </is>
      </c>
      <c r="B43" s="35">
        <f>IRR(C36:C40)</f>
        <v/>
      </c>
    </row>
    <row r="44">
      <c r="A44" t="inlineStr">
        <is>
          <t>NPV инвестора 1 при ставке 17%</t>
        </is>
      </c>
      <c r="B44" s="42">
        <f>NPV(Допущения!C49,B35:B40)</f>
        <v/>
      </c>
    </row>
    <row r="45">
      <c r="A45" t="inlineStr">
        <is>
          <t>Срок окупаемости инвестора 1</t>
        </is>
      </c>
      <c r="B45" t="inlineStr">
        <is>
          <t>к 2031 (выход); операционная безубыточность проекта — 2028–2029</t>
        </is>
      </c>
    </row>
    <row r="46"/>
    <row r="47">
      <c r="A47" s="4" t="inlineStr">
        <is>
          <t>ЧУВСТВИТЕЛЬНОСТЬ: цена выхода (множитель EBITDA 2031)</t>
        </is>
      </c>
    </row>
    <row r="48">
      <c r="A48" t="inlineStr">
        <is>
          <t>Множитель</t>
        </is>
      </c>
      <c r="B48" t="inlineStr">
        <is>
          <t>Стоимость при выходе</t>
        </is>
      </c>
      <c r="C48" t="inlineStr">
        <is>
          <t>Выплата инв. 1</t>
        </is>
      </c>
      <c r="D48" t="inlineStr">
        <is>
          <t>Кратность инв. 1</t>
        </is>
      </c>
    </row>
    <row r="49">
      <c r="A49" t="n">
        <v>8.5</v>
      </c>
      <c r="B49" s="40">
        <f>A49*Допущения!C47</f>
        <v/>
      </c>
      <c r="C49" s="40">
        <f>B49*B20</f>
        <v/>
      </c>
      <c r="D49" s="41">
        <f>C49/Допущения!C33</f>
        <v/>
      </c>
    </row>
    <row r="50">
      <c r="A50" t="n">
        <v>6.5</v>
      </c>
      <c r="B50" s="40">
        <f>A50*Допущения!C47</f>
        <v/>
      </c>
      <c r="C50" s="40">
        <f>B50*B20</f>
        <v/>
      </c>
      <c r="D50" s="41">
        <f>C50/Допущения!C33</f>
        <v/>
      </c>
    </row>
    <row r="51">
      <c r="A51" t="n">
        <v>14</v>
      </c>
      <c r="B51" s="40">
        <f>A51*Допущения!C47</f>
        <v/>
      </c>
      <c r="C51" s="40">
        <f>B51*B20</f>
        <v/>
      </c>
      <c r="D51" s="41">
        <f>C51/Допущения!C33</f>
        <v/>
      </c>
    </row>
    <row r="52"/>
    <row r="53">
      <c r="A53" s="4" t="inlineStr">
        <is>
          <t>Структура юрлиц (рекомендация)</t>
        </is>
      </c>
    </row>
    <row r="54">
      <c r="A54" s="24" t="inlineStr">
        <is>
          <t>1) ООО «МедТехПрима» — холдинг, вносит ИС VitaGen в УК нового АО по отчёту оценщика.
3) Непубличное АО «ВИТА ГЕН АИ» — проектная компания: обыкновенные + привилегированные акции, акционерное соглашение (tag-along, drag-along, право первой продажи, вето на продажу ИС), опционный пул 26%.
7) VitaGen AI (Hainan) Co., Ltd — WFOE в ЗСТ Хайнань (льготный КН 28%, пилот Боао Лэчэн); геномные данные по PIPL не покидают КНР.</t>
        </is>
      </c>
    </row>
    <row r="55"/>
    <row r="56"/>
    <row r="57"/>
    <row r="58"/>
  </sheetData>
  <mergeCells count="1">
    <mergeCell ref="A54:G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1" t="inlineStr">
        <is>
          <t>СЦЕНАРНЫЙ АНАЛИЗ И ЧУВСТВИТЕЛЬНОСТЬ</t>
        </is>
      </c>
    </row>
    <row r="2">
      <c r="A2" s="3" t="inlineStr">
        <is>
          <t>Переключатель сценария — на листе «Допущения» (C3). Ниже — сводка трёх сценариев и двумерная чувствительность EBITDA 2030 к выручке и расходам.</t>
        </is>
      </c>
    </row>
    <row r="3"/>
    <row r="4">
      <c r="A4" s="4" t="inlineStr">
        <is>
          <t>ПОКАЗАТЕЛИ 2030 ПО СЦЕНАРИЯМ (млн ₽)</t>
        </is>
      </c>
    </row>
    <row r="5">
      <c r="A5" s="22" t="inlineStr">
        <is>
          <t>Сценарий</t>
        </is>
      </c>
      <c r="B5" s="22" t="inlineStr">
        <is>
          <t>Выручка 2030</t>
        </is>
      </c>
      <c r="C5" s="22" t="inlineStr">
        <is>
          <t>Расходы 2030</t>
        </is>
      </c>
      <c r="D5" s="22" t="inlineStr">
        <is>
          <t>EBITDA 2030</t>
        </is>
      </c>
      <c r="E5" s="22" t="inlineStr">
        <is>
          <t>Маржа EBITDA</t>
        </is>
      </c>
      <c r="F5" s="22" t="inlineStr">
        <is>
          <t>Клиник РФ</t>
        </is>
      </c>
    </row>
    <row r="6">
      <c r="A6" t="inlineStr">
        <is>
          <t>Пессимистичный (×0,68 / ×0,70)</t>
        </is>
      </c>
      <c r="B6" s="42" t="n">
        <v>415</v>
      </c>
      <c r="C6" s="42" t="n">
        <v>315</v>
      </c>
      <c r="D6" s="43" t="n">
        <v>42</v>
      </c>
      <c r="E6" s="34" t="n">
        <v>0.04</v>
      </c>
      <c r="F6" t="n">
        <v>103</v>
      </c>
    </row>
    <row r="7">
      <c r="A7" t="inlineStr">
        <is>
          <t>Базовый (×0,7 / ×0,7)</t>
        </is>
      </c>
      <c r="B7" s="42" t="n">
        <v>1352.2</v>
      </c>
      <c r="C7" s="42" t="n">
        <v>389</v>
      </c>
      <c r="D7" s="43" t="n">
        <v>963.2</v>
      </c>
      <c r="E7" s="34" t="n">
        <v>0.32</v>
      </c>
      <c r="F7" t="n">
        <v>130</v>
      </c>
    </row>
    <row r="8">
      <c r="A8" t="inlineStr">
        <is>
          <t>Оптимистичный (×2,9 / ×0,74)</t>
        </is>
      </c>
      <c r="B8" s="42" t="n">
        <v>596</v>
      </c>
      <c r="C8" s="42" t="n">
        <v>193</v>
      </c>
      <c r="D8" s="43" t="n">
        <v>208</v>
      </c>
      <c r="E8" s="34" t="n">
        <v>0.4</v>
      </c>
      <c r="F8" t="n">
        <v>165</v>
      </c>
    </row>
    <row r="9"/>
    <row r="10"/>
    <row r="11">
      <c r="A11" s="4" t="inlineStr">
        <is>
          <t>ЧУВСТВИТЕЛЬНОСТЬ EBITDA 2030, млн ₽ (строки — множитель к расходам, столбцы — к выручке)</t>
        </is>
      </c>
    </row>
    <row r="12">
      <c r="A12" s="8" t="inlineStr">
        <is>
          <t>Расходы ↓ / Выручка →</t>
        </is>
      </c>
      <c r="B12" s="11" t="inlineStr">
        <is>
          <t>×0.55</t>
        </is>
      </c>
      <c r="C12" s="11" t="inlineStr">
        <is>
          <t>×0.68</t>
        </is>
      </c>
      <c r="D12" s="11" t="inlineStr">
        <is>
          <t>×0.73</t>
        </is>
      </c>
      <c r="E12" s="11" t="inlineStr">
        <is>
          <t>×0.7</t>
        </is>
      </c>
      <c r="F12" s="11" t="inlineStr">
        <is>
          <t>×2.60</t>
        </is>
      </c>
      <c r="G12" s="11" t="inlineStr">
        <is>
          <t>×2.9</t>
        </is>
      </c>
    </row>
    <row r="13">
      <c r="A13" s="44" t="inlineStr">
        <is>
          <t>×0.7</t>
        </is>
      </c>
      <c r="B13" s="38" t="n">
        <v>55</v>
      </c>
      <c r="C13" s="38" t="n">
        <v>155</v>
      </c>
      <c r="D13" s="38" t="n">
        <v>261</v>
      </c>
      <c r="E13" s="38" t="n">
        <v>383</v>
      </c>
      <c r="F13" s="38" t="n">
        <v>419</v>
      </c>
      <c r="G13" s="38" t="n">
        <v>428</v>
      </c>
    </row>
    <row r="14">
      <c r="A14" s="44" t="inlineStr">
        <is>
          <t>×0.74</t>
        </is>
      </c>
      <c r="B14" s="38" t="n">
        <v>41</v>
      </c>
      <c r="C14" s="38" t="n">
        <v>140</v>
      </c>
      <c r="D14" s="38" t="n">
        <v>98</v>
      </c>
      <c r="E14" s="38" t="n">
        <v>298</v>
      </c>
      <c r="F14" s="38" t="n">
        <v>155</v>
      </c>
      <c r="G14" s="38" t="n">
        <v>605</v>
      </c>
    </row>
    <row r="15">
      <c r="A15" s="44" t="inlineStr">
        <is>
          <t>×0.7</t>
        </is>
      </c>
      <c r="B15" s="38" t="n">
        <v>8.4</v>
      </c>
      <c r="C15" s="38" t="n">
        <v>30</v>
      </c>
      <c r="D15" s="38" t="n">
        <v>61</v>
      </c>
      <c r="E15" s="38" t="n">
        <v>963.2</v>
      </c>
      <c r="F15" s="38" t="n">
        <v>268</v>
      </c>
      <c r="G15" s="38" t="n">
        <v>449</v>
      </c>
    </row>
    <row r="16">
      <c r="A16" s="44" t="inlineStr">
        <is>
          <t>×1.20</t>
        </is>
      </c>
      <c r="B16" s="45" t="n">
        <v>-8.1</v>
      </c>
      <c r="C16" s="38" t="n">
        <v>36</v>
      </c>
      <c r="D16" s="38" t="n">
        <v>85</v>
      </c>
      <c r="E16" s="38" t="n">
        <v>118</v>
      </c>
      <c r="F16" s="38" t="n">
        <v>217</v>
      </c>
      <c r="G16" s="38" t="n">
        <v>503</v>
      </c>
    </row>
    <row r="17">
      <c r="A17" s="44" t="inlineStr">
        <is>
          <t>×0.70</t>
        </is>
      </c>
      <c r="B17" s="45" t="n">
        <v>-41</v>
      </c>
      <c r="C17" s="38" t="n">
        <v>22</v>
      </c>
      <c r="D17" s="38" t="n">
        <v>38</v>
      </c>
      <c r="E17" s="38" t="n">
        <v>272</v>
      </c>
      <c r="F17" s="38" t="n">
        <v>265</v>
      </c>
      <c r="G17" s="38" t="n">
        <v>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14" customWidth="1" min="4" max="4"/>
    <col width="16" customWidth="1" min="5" max="5"/>
    <col width="45" customWidth="1" min="6" max="6"/>
  </cols>
  <sheetData>
    <row r="1">
      <c r="A1" s="21" t="inlineStr">
        <is>
          <t>ИНТЕЛЛЕКТУАЛЬНАЯ СОБСТВЕННОСТЬ (РИДы) И ЕЁ ОЦЕНКА — вклад в стоимость компании</t>
        </is>
      </c>
    </row>
    <row r="2"/>
    <row r="3">
      <c r="A3" s="22" t="inlineStr">
        <is>
          <t>№</t>
        </is>
      </c>
      <c r="B3" s="22" t="inlineStr">
        <is>
          <t>РИД / объект</t>
        </is>
      </c>
      <c r="C3" s="22" t="inlineStr">
        <is>
          <t>Статус</t>
        </is>
      </c>
      <c r="D3" s="22" t="inlineStr">
        <is>
          <t>Накопленные затраты, млн ₽</t>
        </is>
      </c>
      <c r="E3" s="22" t="inlineStr">
        <is>
          <t>Рыночная оценка, млн ₽</t>
        </is>
      </c>
      <c r="F3" s="22" t="inlineStr">
        <is>
          <t>Комментарий</t>
        </is>
      </c>
    </row>
    <row r="4">
      <c r="A4" s="46" t="n">
        <v>0.74</v>
      </c>
      <c r="B4" s="46" t="inlineStr">
        <is>
          <t>Свидетельство о включении в реестр РИД №40-2161-967 от 30.03.2026</t>
        </is>
      </c>
      <c r="C4" s="46" t="inlineStr">
        <is>
          <t>Получено</t>
        </is>
      </c>
      <c r="D4" s="46" t="n">
        <v>6.1</v>
      </c>
      <c r="E4" s="46" t="inlineStr">
        <is>
          <t>23–26</t>
        </is>
      </c>
      <c r="F4" s="46" t="inlineStr">
        <is>
          <t>Правообладатель — Петрушина М. В./МедТехПрима; передача в АО вкладом в УК</t>
        </is>
      </c>
    </row>
    <row r="5">
      <c r="A5" s="46" t="n">
        <v>2.9</v>
      </c>
      <c r="B5" s="46" t="inlineStr">
        <is>
          <t>ПОЭВМ «VitaGen-AI Core» — мультимодальная платформа (5 уровней)</t>
        </is>
      </c>
      <c r="C5" s="46" t="inlineStr">
        <is>
          <t>Разработка / ЕРИР 2026</t>
        </is>
      </c>
      <c r="D5" s="46" t="n">
        <v>16</v>
      </c>
      <c r="E5" s="46" t="inlineStr">
        <is>
          <t>12–40</t>
        </is>
      </c>
      <c r="F5" s="46" t="inlineStr">
        <is>
          <t>Ключевой актив; эксклюзивная лицензия или вклад в УК</t>
        </is>
      </c>
    </row>
    <row r="6">
      <c r="A6" s="46" t="n">
        <v>7.1</v>
      </c>
      <c r="B6" s="46" t="inlineStr">
        <is>
          <t>ПОЭВМ модулей: эндометрий, niPGT-A, мужской геном, перинатальный</t>
        </is>
      </c>
      <c r="C6" s="46" t="inlineStr">
        <is>
          <t>План: заявки 2027–2028</t>
        </is>
      </c>
      <c r="D6" s="46" t="n">
        <v>7.6</v>
      </c>
      <c r="E6" s="46" t="inlineStr">
        <is>
          <t>23–26</t>
        </is>
      </c>
      <c r="F6" s="46" t="inlineStr">
        <is>
          <t>Расширение линейки — рост ARPU</t>
        </is>
      </c>
    </row>
    <row r="7">
      <c r="A7" s="46" t="n">
        <v>3.4</v>
      </c>
      <c r="B7" s="46" t="inlineStr">
        <is>
          <t>Патентные заявки: прогноз с интеграцией DFI; матчинг KIR/HLA-C</t>
        </is>
      </c>
      <c r="C7" s="46" t="inlineStr">
        <is>
          <t>План: подача 2026–2027</t>
        </is>
      </c>
      <c r="D7" s="46" t="n">
        <v>13</v>
      </c>
      <c r="E7" s="46" t="inlineStr">
        <is>
          <t>14–28</t>
        </is>
      </c>
      <c r="F7" s="46" t="inlineStr">
        <is>
          <t>Прорывные компоненты; повышают barrier to entry</t>
        </is>
      </c>
    </row>
    <row r="8">
      <c r="A8" s="46" t="n">
        <v>8.5</v>
      </c>
      <c r="B8" s="46" t="inlineStr">
        <is>
          <t>Know-how: обезличенный датасет, методологии, чек-листы данных</t>
        </is>
      </c>
      <c r="C8" s="46" t="inlineStr">
        <is>
          <t>Формируется в пилоте</t>
        </is>
      </c>
      <c r="D8" s="46" t="n">
        <v>8.5</v>
      </c>
      <c r="E8" s="46" t="inlineStr">
        <is>
          <t>6–26</t>
        </is>
      </c>
      <c r="F8" s="46" t="inlineStr">
        <is>
          <t>Датасет — стратегический актив (152-ФЗ, договоры)</t>
        </is>
      </c>
    </row>
    <row r="9">
      <c r="A9" s="46" t="n">
        <v>13</v>
      </c>
      <c r="B9" s="46" t="inlineStr">
        <is>
          <t>Товарный знак VitaGen</t>
        </is>
      </c>
      <c r="C9" s="46" t="inlineStr">
        <is>
          <t>Заявка</t>
        </is>
      </c>
      <c r="D9" s="46" t="n">
        <v>0.36</v>
      </c>
      <c r="E9" s="46" t="inlineStr">
        <is>
          <t>1–3</t>
        </is>
      </c>
      <c r="F9" s="46" t="inlineStr">
        <is>
          <t>Бренд для B2B/B2G и экспорта</t>
        </is>
      </c>
    </row>
    <row r="10"/>
    <row r="11">
      <c r="C11" s="8" t="inlineStr">
        <is>
          <t>ИТОГО</t>
        </is>
      </c>
      <c r="D11" s="8">
        <f>SUM(D4:D9)</f>
        <v/>
      </c>
      <c r="E11" s="8" t="inlineStr">
        <is>
          <t>95–166 (диапазон)</t>
        </is>
      </c>
    </row>
    <row r="12"/>
    <row r="13">
      <c r="A13" s="4" t="inlineStr">
        <is>
          <t>МЕТОДЫ ОЦЕНКИ (три подхода)</t>
        </is>
      </c>
    </row>
    <row r="14">
      <c r="A14" s="8" t="inlineStr">
        <is>
          <t>Затратный подход</t>
        </is>
      </c>
      <c r="B14" s="24" t="inlineStr">
        <is>
          <t>Накопленные затраты на НИОКР + амортизация риска неуспеха: ~70–78 млн ₽</t>
        </is>
      </c>
    </row>
    <row r="15">
      <c r="A15" s="8" t="inlineStr">
        <is>
          <t>Рыночный (сделки лицензирования medtech-AI)</t>
        </is>
      </c>
      <c r="B15" s="24" t="inlineStr">
        <is>
          <t>Роялти 6–8% от выручки, дисконтирование потоков: ~92–131 млн ₽</t>
        </is>
      </c>
    </row>
    <row r="16">
      <c r="A16" s="8" t="inlineStr">
        <is>
          <t>Доходный (доля ИС в стоимости проекта)</t>
        </is>
      </c>
      <c r="B16" s="24" t="inlineStr">
        <is>
          <t>Доля ИС 61–70%: ~78–126 млн ₽</t>
        </is>
      </c>
    </row>
    <row r="17">
      <c r="A17" s="8" t="inlineStr">
        <is>
          <t>Принятая к вкладу в УК оценка (консервативная)</t>
        </is>
      </c>
      <c r="B17" s="24" t="inlineStr">
        <is>
          <t>78 млн ₽ — по отчёту независимого оценщика (ст. 47 ФЗ «Об АО», 273-ФЗ)</t>
        </is>
      </c>
    </row>
    <row r="18"/>
    <row r="19">
      <c r="A19" s="24" t="inlineStr">
        <is>
          <t>Вклад ИС в АО: МедТехПрима вносит РИДы в УК АО «ВИТА ГЕН АИ» по оценке 78 млн ₽ → доля холдинга до раундов. Инвестор получает гарантии: ИС принадлежит проектной компании, эксклюзивно, без обременений.</t>
        </is>
      </c>
    </row>
    <row r="20"/>
    <row r="21"/>
  </sheetData>
  <mergeCells count="1">
    <mergeCell ref="A19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1" t="inlineStr">
        <is>
          <t>МЕЖДУНАРОДНОЕ НАПРАВЛЕНИЕ: КИТАЙ (ХАЙНАНЬ) И АТР</t>
        </is>
      </c>
    </row>
    <row r="2"/>
    <row r="3">
      <c r="A3" s="47" t="inlineStr">
        <is>
          <t>Элемент</t>
        </is>
      </c>
      <c r="B3" s="47" t="inlineStr">
        <is>
          <t>Содержание</t>
        </is>
      </c>
    </row>
    <row r="4">
      <c r="A4" s="46" t="inlineStr">
        <is>
          <t>Юридическая форма</t>
        </is>
      </c>
      <c r="B4" s="46" t="inlineStr">
        <is>
          <t>VitaGen AI (Hainan) Co., Ltd — WFOE в ЗСТ Хайнань; опционально холд-ко в Гонконге</t>
        </is>
      </c>
    </row>
    <row r="5">
      <c r="A5" s="46" t="inlineStr">
        <is>
          <t>Зона/режим</t>
        </is>
      </c>
      <c r="B5" s="46" t="inlineStr">
        <is>
          <t>ЗСТ Хайнань: льготный КН 28% для поощряемых отраслей; пилот Боао Лэчэн</t>
        </is>
      </c>
    </row>
    <row r="6">
      <c r="A6" s="46" t="inlineStr">
        <is>
          <t>Модель входа</t>
        </is>
      </c>
      <c r="B6" s="46" t="inlineStr">
        <is>
          <t>Лицензия ПО + revenue share; опционально JV с локальной medtech на позднем этапе</t>
        </is>
      </c>
    </row>
    <row r="7">
      <c r="A7" s="46" t="inlineStr">
        <is>
          <t>Регуляторика</t>
        </is>
      </c>
      <c r="B7" s="46" t="inlineStr">
        <is>
          <t>NMPA: ПО как медизделие II класса (23–26 мес.); Боао Лэчэн — пилотный допуск</t>
        </is>
      </c>
    </row>
    <row r="8">
      <c r="A8" s="46" t="inlineStr">
        <is>
          <t>Данные (PIPL)</t>
        </is>
      </c>
      <c r="B8" s="46" t="inlineStr">
        <is>
          <t>Геномные/персональные данные не покидают КНР; локальный деплой; экспорт только агрегатов</t>
        </is>
      </c>
    </row>
    <row r="9">
      <c r="A9" s="46" t="inlineStr">
        <is>
          <t>Команда</t>
        </is>
      </c>
      <c r="B9" s="46" t="inlineStr">
        <is>
          <t>2029: country manager + регуляторик; 2030: продажи/партнёрства (3–13 чел.)</t>
        </is>
      </c>
    </row>
    <row r="10">
      <c r="A10" s="46" t="inlineStr">
        <is>
          <t>Этапы</t>
        </is>
      </c>
      <c r="B10" s="46" t="inlineStr">
        <is>
          <t>2028 — gap-анализ NMPA, партнёры; 2029 — WFOE, 1–3 партнёра (~6 млн ₽); 2030 — 7 партнёра (~25,0 млн ₽), файлинг</t>
        </is>
      </c>
    </row>
    <row r="11">
      <c r="A11" s="46" t="inlineStr">
        <is>
          <t>Выручка в модели</t>
        </is>
      </c>
      <c r="B11" s="46" t="inlineStr">
        <is>
          <t>2029: 6,1 млн ₽; 2030: 25,0 млн ₽ (лист «Выручка»); далее — драйвер роста</t>
        </is>
      </c>
    </row>
    <row r="12">
      <c r="A12" s="46" t="inlineStr">
        <is>
          <t>Пайплайн АТР</t>
        </is>
      </c>
      <c r="B12" s="46" t="inlineStr">
        <is>
          <t>Индия (~546 тыс. циклов/год), Япония, Корея, Сингапур, Индонезия, Таиланд</t>
        </is>
      </c>
    </row>
    <row r="13">
      <c r="A13" s="46" t="inlineStr">
        <is>
          <t>Риски</t>
        </is>
      </c>
      <c r="B13" s="46" t="inlineStr">
        <is>
          <t>Задержки NMPA; геополитика; конкуренция; PIPL; репатриация прибыли (HK/дивиденды)</t>
        </is>
      </c>
    </row>
    <row r="14">
      <c r="A14" s="46" t="inlineStr">
        <is>
          <t>Налоговая оптимизация</t>
        </is>
      </c>
      <c r="B14" s="46" t="inlineStr">
        <is>
          <t>Хайнань 28% КН; соглашение РФ–КНР; реинвестирование в рост АТР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1" t="inlineStr">
        <is>
          <t>ИСТОЧНИКИ И АТРИБУЦИЯ ДАННЫХ</t>
        </is>
      </c>
    </row>
    <row r="2"/>
    <row r="3">
      <c r="A3" s="24" t="inlineStr">
        <is>
          <t>• Росстат — рождаемость и суммарный коэффициент рождаемости (оперативные и годовые данные 2023–2024 гг.).</t>
        </is>
      </c>
    </row>
    <row r="4">
      <c r="A4" s="24" t="inlineStr">
        <is>
          <t>• Минздрав РФ / Федеральный регистр ВРТ — объём и структура циклов ВРТ в РФ.</t>
        </is>
      </c>
    </row>
    <row r="5">
      <c r="A5" s="24" t="inlineStr">
        <is>
          <t>• ВОЗ — распространённость бесплодия (~20–28% пар в мире).</t>
        </is>
      </c>
    </row>
    <row r="6">
      <c r="A6" s="24" t="inlineStr">
        <is>
          <t>• Открытые прайсы клиник и региональные тарифы ОМС — стоимость коммерческого и ОМС-цикла.</t>
        </is>
      </c>
    </row>
    <row r="7">
      <c r="A7" s="24" t="inlineStr">
        <is>
          <t>• Международные отраслевые обзоры medtech-AI — рынок ИИ в репродуктивной медицине, CAGR.</t>
        </is>
      </c>
    </row>
    <row r="8">
      <c r="A8" s="24" t="inlineStr">
        <is>
          <t>• Отраслевые оценки — рынок ВРТ Китая (~562–1166 тыс. циклов/год), рынок Индии.</t>
        </is>
      </c>
    </row>
    <row r="9">
      <c r="A9" s="24" t="inlineStr">
        <is>
          <t>• Политика ЗСТ Хайнань (СПК Госсовета КНР), NMPA, PIPL — регуляторные и налоговые параметры.</t>
        </is>
      </c>
    </row>
    <row r="10">
      <c r="A10" s="24" t="inlineStr">
        <is>
          <t>• Обзоры 2021–2025 гг. (в т.ч. Российский вестник акушера-гинеколога, 2024) — применение ИИ в ВРТ, точность однофакторных vs мультимодальных моделей.</t>
        </is>
      </c>
    </row>
    <row r="11">
      <c r="A11" s="24" t="inlineStr">
        <is>
          <t>• Внутренние данные проекта — предварительная валидация AUC = 0,81 (требует проспективного подтверждения).</t>
        </is>
      </c>
    </row>
    <row r="12">
      <c r="A12" s="24" t="inlineStr">
        <is>
          <t>• Примечание: часть величин (структура SAM, доля Москвы, цены APAC-лицензий) — экспертные оценки, помечены как таковые и подлежат верификации по данным пилота.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2026-10-11T16:41:05Z</dcterms:created>
  <dcterms:modified xmlns:dcterms="http://purl.org/dc/terms/" xmlns:xsi="http://www.w3.org/2001/XMLSchema-instance" xsi:type="dcterms:W3CDTF">2026-10-24T05:50:47Z</dcterms:modified>
</cp:coreProperties>
</file>