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10500" tabRatio="600" firstSheet="0" activeTab="0" autoFilterDateGrouping="1"/>
  </bookViews>
  <sheets>
    <sheet xmlns:r="http://schemas.openxmlformats.org/officeDocument/2006/relationships" name="Допущения" sheetId="1" state="visible" r:id="rId1"/>
    <sheet xmlns:r="http://schemas.openxmlformats.org/officeDocument/2006/relationships" name="Рынок" sheetId="2" state="visible" r:id="rId2"/>
    <sheet xmlns:r="http://schemas.openxmlformats.org/officeDocument/2006/relationships" name="Выручка" sheetId="3" state="visible" r:id="rId3"/>
    <sheet xmlns:r="http://schemas.openxmlformats.org/officeDocument/2006/relationships" name="Расходы" sheetId="4" state="visible" r:id="rId4"/>
    <sheet xmlns:r="http://schemas.openxmlformats.org/officeDocument/2006/relationships" name="PnL" sheetId="5" state="visible" r:id="rId5"/>
    <sheet xmlns:r="http://schemas.openxmlformats.org/officeDocument/2006/relationships" name="ДДС" sheetId="6" state="visible" r:id="rId6"/>
    <sheet xmlns:r="http://schemas.openxmlformats.org/officeDocument/2006/relationships" name="Инвестор" sheetId="7" state="visible" r:id="rId7"/>
    <sheet xmlns:r="http://schemas.openxmlformats.org/officeDocument/2006/relationships" name="ИС_Оценка" sheetId="8" state="visible" r:id="rId8"/>
    <sheet xmlns:r="http://schemas.openxmlformats.org/officeDocument/2006/relationships" name="Китай_АТР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&quot;%&quot;"/>
    <numFmt numFmtId="166" formatCode="0.0%"/>
    <numFmt numFmtId="167" formatCode="0.0\x"/>
  </numFmts>
  <fonts count="7">
    <font>
      <name val="Calibri"/>
      <family val="2"/>
      <color theme="1"/>
      <sz val="11"/>
      <scheme val="minor"/>
    </font>
    <font>
      <name val="Calibri"/>
      <b val="1"/>
      <color rgb="FF0B3D5C"/>
      <sz val="13"/>
    </font>
    <font>
      <name val="Calibri"/>
      <i val="1"/>
      <color rgb="FF666666"/>
      <sz val="9"/>
    </font>
    <font>
      <name val="Calibri"/>
      <b val="1"/>
      <sz val="11"/>
    </font>
    <font>
      <name val="Calibri"/>
      <b val="1"/>
      <color rgb="FFFFFFFF"/>
      <sz val="12"/>
    </font>
    <font>
      <name val="Calibri"/>
      <b val="1"/>
      <color rgb="FF0B3D5C"/>
      <sz val="11"/>
    </font>
    <font>
      <name val="Calibri"/>
      <b val="1"/>
      <color rgb="FF0B3D5C"/>
      <sz val="12"/>
    </font>
  </fonts>
  <fills count="5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0B3D5C"/>
      </patternFill>
    </fill>
    <fill>
      <patternFill patternType="solid">
        <fgColor rgb="FFD6EAF5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0" fontId="5" fillId="4" borderId="0" pivotButton="0" quotePrefix="0" xfId="0"/>
    <xf numFmtId="0" fontId="0" fillId="4" borderId="0" pivotButton="0" quotePrefix="0" xfId="0"/>
    <xf numFmtId="164" fontId="0" fillId="2" borderId="1" pivotButton="0" quotePrefix="0" xfId="0"/>
    <xf numFmtId="3" fontId="0" fillId="2" borderId="1" pivotButton="0" quotePrefix="0" xfId="0"/>
    <xf numFmtId="165" fontId="0" fillId="2" borderId="1" pivotButton="0" quotePrefix="0" xfId="0"/>
    <xf numFmtId="0" fontId="5" fillId="0" borderId="0" pivotButton="0" quotePrefix="0" xfId="0"/>
    <xf numFmtId="0" fontId="0" fillId="2" borderId="0" pivotButton="0" quotePrefix="0" xfId="0"/>
    <xf numFmtId="9" fontId="0" fillId="2" borderId="0" pivotButton="0" quotePrefix="0" xfId="0"/>
    <xf numFmtId="0" fontId="6" fillId="0" borderId="0" pivotButton="0" quotePrefix="0" xfId="0"/>
    <xf numFmtId="0" fontId="4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1" pivotButton="0" quotePrefix="0" xfId="0"/>
    <xf numFmtId="164" fontId="3" fillId="0" borderId="1" pivotButton="0" quotePrefix="0" xfId="0"/>
    <xf numFmtId="166" fontId="0" fillId="0" borderId="0" pivotButton="0" quotePrefix="0" xfId="0"/>
    <xf numFmtId="166" fontId="3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tabSelected="1" workbookViewId="0">
      <selection activeCell="A1" sqref="A1"/>
    </sheetView>
  </sheetViews>
  <sheetFormatPr baseColWidth="8" defaultRowHeight="14.4"/>
  <cols>
    <col width="62" customWidth="1" style="29" min="1" max="1"/>
    <col width="12" customWidth="1" style="29" min="2" max="7"/>
  </cols>
  <sheetData>
    <row r="1" ht="17.4" customHeight="1" s="29">
      <c r="A1" s="1" t="inlineStr">
        <is>
          <t>VitaGen-AI — ФИНАНСОВАЯ МОДЕЛЬ (2026–2030). Все значения в млн ₽, если не указано иное</t>
        </is>
      </c>
    </row>
    <row r="2">
      <c r="A2" s="2" t="inlineStr">
        <is>
          <t>Жёлтые ячейки — входные параметры. Рыночные данные атрибутированы на листе «Рынок». Модель сценарная: переключатель в C3.</t>
        </is>
      </c>
    </row>
    <row r="3"/>
    <row r="4">
      <c r="A4" t="inlineStr">
        <is>
          <t>СЦЕНАРИЙ (1 — пессимистичный, 1 — базовый, 3 — оптимистичный)</t>
        </is>
      </c>
      <c r="C4" s="3" t="n">
        <v>1</v>
      </c>
    </row>
    <row r="5">
      <c r="A5" t="inlineStr">
        <is>
          <t>Коэффициент к выручке</t>
        </is>
      </c>
      <c r="C5">
        <f>IF(C4=0,0.75,IF(C4=1,1,1.3))</f>
        <v/>
      </c>
    </row>
    <row r="6">
      <c r="A6" t="inlineStr">
        <is>
          <t>Коэффициент к расходам</t>
        </is>
      </c>
      <c r="C6">
        <f>IF(C4=0,1.12,IF(C4=1,1,0.95))</f>
        <v/>
      </c>
    </row>
    <row r="7"/>
    <row r="8" ht="15.6" customHeight="1" s="29">
      <c r="A8" s="4" t="inlineStr">
        <is>
          <t>Показатель</t>
        </is>
      </c>
      <c r="B8" s="4" t="inlineStr">
        <is>
          <t>Ед.</t>
        </is>
      </c>
      <c r="C8" s="5" t="n">
        <v>1292</v>
      </c>
      <c r="D8" s="5" t="n">
        <v>3603</v>
      </c>
      <c r="E8" s="5" t="n">
        <v>3418</v>
      </c>
      <c r="F8" s="5" t="n">
        <v>2889</v>
      </c>
      <c r="G8" s="5" t="n">
        <v>2676</v>
      </c>
    </row>
    <row r="9"/>
    <row r="10">
      <c r="A10" s="6" t="inlineStr">
        <is>
          <t>МОНЕТИЗАЦИЯ (цены)</t>
        </is>
      </c>
      <c r="B10" s="7" t="n"/>
      <c r="C10" s="7" t="n"/>
      <c r="D10" s="7" t="n"/>
      <c r="E10" s="7" t="n"/>
      <c r="F10" s="7" t="n"/>
      <c r="G10" s="7" t="n"/>
    </row>
    <row r="11">
      <c r="A11" t="inlineStr">
        <is>
          <t>Подписка клиники (SaaS + аналитика базового модуля)</t>
        </is>
      </c>
      <c r="B11" t="inlineStr">
        <is>
          <t>млн ₽/год</t>
        </is>
      </c>
      <c r="C11" s="8" t="n">
        <v>5</v>
      </c>
      <c r="D11" s="8" t="n">
        <v>4.3</v>
      </c>
      <c r="E11" s="8" t="n">
        <v>4.3</v>
      </c>
      <c r="F11" s="8" t="n">
        <v>6.1</v>
      </c>
      <c r="G11" s="8" t="n">
        <v>5</v>
      </c>
    </row>
    <row r="12">
      <c r="A12" t="inlineStr">
        <is>
          <t>Доп. модули ARPU на клинику</t>
        </is>
      </c>
      <c r="B12" t="inlineStr">
        <is>
          <t>млн ₽/год</t>
        </is>
      </c>
      <c r="C12" s="8" t="n">
        <v>0.12</v>
      </c>
      <c r="D12" s="8" t="n">
        <v>0.24</v>
      </c>
      <c r="E12" s="8" t="n">
        <v>0.38</v>
      </c>
      <c r="F12" s="8" t="n">
        <v>0.71</v>
      </c>
      <c r="G12" s="8" t="n">
        <v>0.74</v>
      </c>
    </row>
    <row r="13">
      <c r="A13" t="inlineStr">
        <is>
          <t>Матчинг донорство/СМ (за случай)</t>
        </is>
      </c>
      <c r="B13" t="inlineStr">
        <is>
          <t>млн ₽</t>
        </is>
      </c>
      <c r="C13" s="8" t="n">
        <v>0.14</v>
      </c>
      <c r="D13" s="8" t="n">
        <v>0.14</v>
      </c>
      <c r="E13" s="8" t="n">
        <v>0.14</v>
      </c>
      <c r="F13" s="8" t="n">
        <v>0.14</v>
      </c>
      <c r="G13" s="8" t="n">
        <v>0.14</v>
      </c>
    </row>
    <row r="14">
      <c r="A14" t="inlineStr">
        <is>
          <t>B2G-аналитика региона (CLBR/CPLB)</t>
        </is>
      </c>
      <c r="B14" t="inlineStr">
        <is>
          <t>млн ₽/год</t>
        </is>
      </c>
      <c r="C14" s="8" t="n">
        <v>3.4</v>
      </c>
      <c r="D14" s="8" t="n">
        <v>5.9</v>
      </c>
      <c r="E14" s="8" t="n">
        <v>8.5</v>
      </c>
      <c r="F14" s="8" t="n">
        <v>12</v>
      </c>
      <c r="G14" s="8" t="n">
        <v>13</v>
      </c>
    </row>
    <row r="15">
      <c r="A15" t="inlineStr">
        <is>
          <t>APAC-партнёр (лицензия, Хайнань/АТР)</t>
        </is>
      </c>
      <c r="B15" t="inlineStr">
        <is>
          <t>млн ₽/год</t>
        </is>
      </c>
      <c r="C15" s="8" t="n">
        <v>6.1</v>
      </c>
      <c r="D15" s="8" t="n">
        <v>6.1</v>
      </c>
      <c r="E15" s="8" t="n">
        <v>14</v>
      </c>
      <c r="F15" s="8" t="n">
        <v>14</v>
      </c>
      <c r="G15" s="8" t="n">
        <v>14</v>
      </c>
    </row>
    <row r="16"/>
    <row r="17">
      <c r="A17" s="6" t="inlineStr">
        <is>
          <t>ОБЪЁМЫ ПРОДАЖ (конец периода, накопительно)</t>
        </is>
      </c>
      <c r="B17" s="7" t="n"/>
      <c r="C17" s="7" t="n"/>
      <c r="D17" s="7" t="n"/>
      <c r="E17" s="7" t="n"/>
      <c r="F17" s="7" t="n"/>
      <c r="G17" s="7" t="n"/>
    </row>
    <row r="18">
      <c r="A18" t="inlineStr">
        <is>
          <t>Клиники-абоненты в РФ</t>
        </is>
      </c>
      <c r="B18" t="inlineStr">
        <is>
          <t>шт</t>
        </is>
      </c>
      <c r="C18" s="9" t="n">
        <v>7.1</v>
      </c>
      <c r="D18" s="9" t="n">
        <v>26</v>
      </c>
      <c r="E18" s="9" t="n">
        <v>58</v>
      </c>
      <c r="F18" s="9" t="n">
        <v>92</v>
      </c>
      <c r="G18" s="9" t="n">
        <v>130</v>
      </c>
    </row>
    <row r="19">
      <c r="A19" t="inlineStr">
        <is>
          <t>Регионы — контракты B2G</t>
        </is>
      </c>
      <c r="B19" t="inlineStr">
        <is>
          <t>шт</t>
        </is>
      </c>
      <c r="C19" s="9" t="n">
        <v>0</v>
      </c>
      <c r="D19" s="9" t="n">
        <v>0.74</v>
      </c>
      <c r="E19" s="9" t="n">
        <v>2.9</v>
      </c>
      <c r="F19" s="9" t="n">
        <v>7.1</v>
      </c>
      <c r="G19" s="9" t="n">
        <v>8.5</v>
      </c>
    </row>
    <row r="20">
      <c r="A20" t="inlineStr">
        <is>
          <t>Случаи матча донорство/СМ</t>
        </is>
      </c>
      <c r="B20" t="inlineStr">
        <is>
          <t>случаев/год</t>
        </is>
      </c>
      <c r="C20" s="9" t="n">
        <v>0</v>
      </c>
      <c r="D20" s="9" t="n">
        <v>6.1</v>
      </c>
      <c r="E20" s="9" t="n">
        <v>17</v>
      </c>
      <c r="F20" s="9" t="n">
        <v>78</v>
      </c>
      <c r="G20" s="9" t="n">
        <v>136</v>
      </c>
    </row>
    <row r="21">
      <c r="A21" t="inlineStr">
        <is>
          <t>APAC-партнёры (эквивалент полной загрузки)</t>
        </is>
      </c>
      <c r="B21" t="inlineStr">
        <is>
          <t>FTE-экв.</t>
        </is>
      </c>
      <c r="C21" s="8" t="n">
        <v>0</v>
      </c>
      <c r="D21" s="8" t="n">
        <v>0</v>
      </c>
      <c r="E21" s="8" t="n">
        <v>0</v>
      </c>
      <c r="F21" s="8" t="n">
        <v>0.74</v>
      </c>
      <c r="G21" s="8" t="n">
        <v>7.1</v>
      </c>
    </row>
    <row r="22"/>
    <row r="23">
      <c r="A23" s="6" t="inlineStr">
        <is>
          <t>РАСХОДЫ (млн ₽, с коэффициентом сценария)</t>
        </is>
      </c>
      <c r="B23" s="7" t="n"/>
      <c r="C23" s="7" t="n"/>
      <c r="D23" s="7" t="n"/>
      <c r="E23" s="7" t="n"/>
      <c r="F23" s="7" t="n"/>
      <c r="G23" s="7" t="n"/>
    </row>
    <row r="24">
      <c r="A24" t="inlineStr">
        <is>
          <t>ФОТ с отчислениями (команда)</t>
        </is>
      </c>
      <c r="B24" t="inlineStr">
        <is>
          <t>млн ₽</t>
        </is>
      </c>
      <c r="C24" s="8" t="n">
        <v>24</v>
      </c>
      <c r="D24" s="8" t="n">
        <v>70</v>
      </c>
      <c r="E24" s="8" t="n">
        <v>103</v>
      </c>
      <c r="F24" s="8" t="n">
        <v>141</v>
      </c>
      <c r="G24" s="8" t="n">
        <v>288</v>
      </c>
    </row>
    <row r="25">
      <c r="A25" t="inlineStr">
        <is>
          <t>НИОКР: подряды, данные, обучение моделей</t>
        </is>
      </c>
      <c r="B25" t="inlineStr">
        <is>
          <t>млн ₽</t>
        </is>
      </c>
      <c r="C25" s="8" t="n">
        <v>14</v>
      </c>
      <c r="D25" s="8" t="n">
        <v>26</v>
      </c>
      <c r="E25" s="8" t="n">
        <v>28</v>
      </c>
      <c r="F25" s="8" t="n">
        <v>12</v>
      </c>
      <c r="G25" s="8" t="n">
        <v>40</v>
      </c>
    </row>
    <row r="26">
      <c r="A26" t="inlineStr">
        <is>
          <t>Маркетинг и продажи (без ФОТ продаж)</t>
        </is>
      </c>
      <c r="B26" t="inlineStr">
        <is>
          <t>млн ₽</t>
        </is>
      </c>
      <c r="C26" s="8" t="n">
        <v>2.9</v>
      </c>
      <c r="D26" s="8" t="n">
        <v>8.5</v>
      </c>
      <c r="E26" s="8" t="n">
        <v>14</v>
      </c>
      <c r="F26" s="8" t="n">
        <v>21</v>
      </c>
      <c r="G26" s="8" t="n">
        <v>24</v>
      </c>
    </row>
    <row r="27">
      <c r="A27" t="inlineStr">
        <is>
          <t>Инфраструктура / облако / поддержка</t>
        </is>
      </c>
      <c r="B27" t="inlineStr">
        <is>
          <t>млн ₽</t>
        </is>
      </c>
      <c r="C27" s="8" t="n">
        <v>2.9</v>
      </c>
      <c r="D27" s="8" t="n">
        <v>3.4</v>
      </c>
      <c r="E27" s="8" t="n">
        <v>7.6</v>
      </c>
      <c r="F27" s="8" t="n">
        <v>23</v>
      </c>
      <c r="G27" s="8" t="n">
        <v>61</v>
      </c>
    </row>
    <row r="28">
      <c r="A28" t="inlineStr">
        <is>
          <t>Административные, юр., бух., аренда</t>
        </is>
      </c>
      <c r="B28" t="inlineStr">
        <is>
          <t>млн ₽</t>
        </is>
      </c>
      <c r="C28" s="8" t="n">
        <v>3.4</v>
      </c>
      <c r="D28" s="8" t="n">
        <v>13</v>
      </c>
      <c r="E28" s="8" t="n">
        <v>6.1</v>
      </c>
      <c r="F28" s="8" t="n">
        <v>14</v>
      </c>
      <c r="G28" s="8" t="n">
        <v>28</v>
      </c>
    </row>
    <row r="29">
      <c r="A29" t="inlineStr">
        <is>
          <t>Регуляторика РФ (ИИ-МИ) + NMPA (Китай)</t>
        </is>
      </c>
      <c r="B29" t="inlineStr">
        <is>
          <t>млн ₽</t>
        </is>
      </c>
      <c r="C29" s="8" t="n">
        <v>5.9</v>
      </c>
      <c r="D29" s="8" t="n">
        <v>5.5</v>
      </c>
      <c r="E29" s="8" t="n">
        <v>4.3</v>
      </c>
      <c r="F29" s="8" t="n">
        <v>10</v>
      </c>
      <c r="G29" s="8" t="n">
        <v>6.1</v>
      </c>
    </row>
    <row r="30"/>
    <row r="31">
      <c r="A31" s="6" t="inlineStr">
        <is>
          <t>НАЛОГИ И ИНВЕСТИЦИИ</t>
        </is>
      </c>
      <c r="B31" s="7" t="n"/>
      <c r="C31" s="7" t="n"/>
      <c r="D31" s="7" t="n"/>
      <c r="E31" s="7" t="n"/>
      <c r="F31" s="7" t="n"/>
      <c r="G31" s="7" t="n"/>
    </row>
    <row r="32">
      <c r="A32" t="inlineStr">
        <is>
          <t>УСН «доходы» (консервативно; возможен Сколково 1%)</t>
        </is>
      </c>
      <c r="B32" t="inlineStr">
        <is>
          <t>%</t>
        </is>
      </c>
      <c r="C32" s="10" t="n">
        <v>8.5</v>
      </c>
      <c r="D32" s="10" t="n">
        <v>8.5</v>
      </c>
      <c r="E32" s="10" t="n">
        <v>8.5</v>
      </c>
      <c r="F32" s="10" t="n">
        <v>8.5</v>
      </c>
      <c r="G32" s="10" t="n">
        <v>8.5</v>
      </c>
    </row>
    <row r="33">
      <c r="A33" t="inlineStr">
        <is>
          <t>Раунд 1 — Seed (привлечено)</t>
        </is>
      </c>
      <c r="B33" t="inlineStr">
        <is>
          <t>млн ₽</t>
        </is>
      </c>
      <c r="C33" s="8" t="n">
        <v>58</v>
      </c>
      <c r="D33" s="8" t="n">
        <v>0</v>
      </c>
      <c r="E33" s="8" t="n">
        <v>0</v>
      </c>
      <c r="F33" s="8" t="n">
        <v>0</v>
      </c>
      <c r="G33" s="8" t="n">
        <v>0</v>
      </c>
    </row>
    <row r="34">
      <c r="A34" t="inlineStr">
        <is>
          <t>Раунд 2 — Series A (привлечено)</t>
        </is>
      </c>
      <c r="B34" t="inlineStr">
        <is>
          <t>млн ₽</t>
        </is>
      </c>
      <c r="C34" s="8" t="n">
        <v>0</v>
      </c>
      <c r="D34" s="8" t="n">
        <v>78</v>
      </c>
      <c r="E34" s="8" t="n">
        <v>0</v>
      </c>
      <c r="F34" s="8" t="n">
        <v>0</v>
      </c>
      <c r="G34" s="8" t="n">
        <v>0</v>
      </c>
    </row>
    <row r="35">
      <c r="A35" t="inlineStr">
        <is>
          <t>Гранты (non-dilutive: ФСИ, Сколково, ДЗМ)</t>
        </is>
      </c>
      <c r="B35" t="inlineStr">
        <is>
          <t>млн ₽</t>
        </is>
      </c>
      <c r="C35" s="8" t="n">
        <v>8.5</v>
      </c>
      <c r="D35" s="8" t="n">
        <v>6.1</v>
      </c>
      <c r="E35" s="8" t="n">
        <v>13</v>
      </c>
      <c r="F35" s="8" t="n">
        <v>3.4</v>
      </c>
      <c r="G35" s="8" t="n">
        <v>2.9</v>
      </c>
    </row>
    <row r="36"/>
    <row r="37">
      <c r="A37" s="11" t="inlineStr">
        <is>
          <t>ПАРАМЕТРЫ ОЦЕНКИ И ВЫХОДА</t>
        </is>
      </c>
    </row>
    <row r="38">
      <c r="A38" t="inlineStr">
        <is>
          <t>Pre-money до Раунда 1 (вкл. ИС ~78 млн ₽, оценка лист «ИС_Оценка»)</t>
        </is>
      </c>
      <c r="B38" t="inlineStr">
        <is>
          <t>млн ₽</t>
        </is>
      </c>
      <c r="C38" s="12" t="n">
        <v>165</v>
      </c>
    </row>
    <row r="39">
      <c r="A39" t="inlineStr">
        <is>
          <t>Pre-money до Раунда 3</t>
        </is>
      </c>
      <c r="B39" t="inlineStr">
        <is>
          <t>млн ₽</t>
        </is>
      </c>
      <c r="C39" s="12" t="n">
        <v>420</v>
      </c>
    </row>
    <row r="40">
      <c r="A40" t="inlineStr">
        <is>
          <t>Ожидаемая EBITDA 2031 (рост к 2030)</t>
        </is>
      </c>
      <c r="B40" t="inlineStr">
        <is>
          <t>млн ₽</t>
        </is>
      </c>
      <c r="C40" s="12" t="n">
        <v>320</v>
      </c>
    </row>
    <row r="41">
      <c r="A41" t="inlineStr">
        <is>
          <t>Множитель EBITDA при выходе (стратег. покупатель)</t>
        </is>
      </c>
      <c r="B41" t="inlineStr">
        <is>
          <t>x</t>
        </is>
      </c>
      <c r="C41" s="12" t="n">
        <v>6.5</v>
      </c>
    </row>
    <row r="42">
      <c r="A42" t="inlineStr">
        <is>
          <t>Ставка дисконтирования для NPV инвестора</t>
        </is>
      </c>
      <c r="B42" t="inlineStr">
        <is>
          <t>%</t>
        </is>
      </c>
      <c r="C42" s="13" t="n">
        <v>0.17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4.4"/>
  <cols>
    <col width="55" customWidth="1" style="29" min="1" max="1"/>
    <col width="30" customWidth="1" style="29" min="2" max="2"/>
    <col width="70" customWidth="1" style="29" min="3" max="3"/>
  </cols>
  <sheetData>
    <row r="1" ht="15.6" customHeight="1" s="29">
      <c r="A1" s="14" t="inlineStr">
        <is>
          <t>РЫНОК: источники и ключевые данные (собственный анализ, без опоры на внутренние оценки исходной презентации)</t>
        </is>
      </c>
    </row>
    <row r="2"/>
    <row r="3" ht="15.6" customHeight="1" s="29">
      <c r="A3" s="15" t="inlineStr">
        <is>
          <t>Показатель</t>
        </is>
      </c>
      <c r="B3" s="15" t="inlineStr">
        <is>
          <t>Значение</t>
        </is>
      </c>
      <c r="C3" s="15" t="inlineStr">
        <is>
          <t>Источник / метод</t>
        </is>
      </c>
    </row>
    <row r="4">
      <c r="A4" s="16" t="inlineStr">
        <is>
          <t>Рождений в РФ, 2024</t>
        </is>
      </c>
      <c r="B4" s="28" t="inlineStr">
        <is>
          <t>~1,50 млн чел.</t>
        </is>
      </c>
      <c r="C4" s="28" t="inlineStr">
        <is>
          <t>Росстат (оперативные данные по итогам 2024 г.)</t>
        </is>
      </c>
    </row>
    <row r="5">
      <c r="A5" s="16" t="inlineStr">
        <is>
          <t>Суммарный коэффициент рождаемости (СКР), РФ</t>
        </is>
      </c>
      <c r="B5" s="28" t="inlineStr">
        <is>
          <t>~2,0</t>
        </is>
      </c>
      <c r="C5" s="28" t="inlineStr">
        <is>
          <t>Росстат, 2023–2024 гг.</t>
        </is>
      </c>
    </row>
    <row r="6">
      <c r="A6" s="16" t="inlineStr">
        <is>
          <t>Инфертильность в мире</t>
        </is>
      </c>
      <c r="B6" s="28" t="inlineStr">
        <is>
          <t>~20–28% пар</t>
        </is>
      </c>
      <c r="C6" s="28" t="inlineStr">
        <is>
          <t>ВОЗ (оценки по распространённости бесплодия)</t>
        </is>
      </c>
    </row>
    <row r="7" ht="28.8" customHeight="1" s="29">
      <c r="A7" s="16" t="inlineStr">
        <is>
          <t>Циклы ВРТ в РФ в год</t>
        </is>
      </c>
      <c r="B7" s="28" t="inlineStr">
        <is>
          <t>~197–261 тыс.</t>
        </is>
      </c>
      <c r="C7" s="28" t="inlineStr">
        <is>
          <t>Федеральный регистр ВРТ Минздрава РФ (публичные оценки 2022–2024 гг.); рост ~8–10%/год</t>
        </is>
      </c>
    </row>
    <row r="8">
      <c r="A8" s="16" t="inlineStr">
        <is>
          <t>Доля циклов по ОМС</t>
        </is>
      </c>
      <c r="B8" s="28" t="inlineStr">
        <is>
          <t>~64–126%</t>
        </is>
      </c>
      <c r="C8" s="28" t="inlineStr">
        <is>
          <t>Публичные заявления МЗ РФ о квотах ОМС на ВРТ</t>
        </is>
      </c>
    </row>
    <row r="9" ht="28.8" customHeight="1" s="29">
      <c r="A9" s="16" t="inlineStr">
        <is>
          <t>Доля Москвы в циклах РФ</t>
        </is>
      </c>
      <c r="B9" s="28" t="inlineStr">
        <is>
          <t>~12–17%</t>
        </is>
      </c>
      <c r="C9" s="28" t="inlineStr">
        <is>
          <t>Экспертная оценка: концентрация федеральных центров ВРТ и РНИМУ; ~17–61 тыс. циклов/год</t>
        </is>
      </c>
    </row>
    <row r="10">
      <c r="A10" s="16" t="inlineStr">
        <is>
          <t>Средняя стоимость коммерческого цикла (Москва)</t>
        </is>
      </c>
      <c r="B10" s="28" t="inlineStr">
        <is>
          <t>546–1020 тыс. ₽</t>
        </is>
      </c>
      <c r="C10" s="28" t="inlineStr">
        <is>
          <t>Открытые прайсы клиник (РНИМУ, коммерческие центры), 2024–2025 гг.</t>
        </is>
      </c>
    </row>
    <row r="11">
      <c r="A11" s="16" t="inlineStr">
        <is>
          <t>Средняя стоимость цикла по ОМС (тариф)</t>
        </is>
      </c>
      <c r="B11" s="28" t="inlineStr">
        <is>
          <t>197–310 тыс. ₽</t>
        </is>
      </c>
      <c r="C11" s="28" t="inlineStr">
        <is>
          <t>Региональные тарифы ОМС на ВРТ (открытые данные ФОМС/рег. тарифы)</t>
        </is>
      </c>
    </row>
    <row r="12">
      <c r="A12" s="16" t="inlineStr">
        <is>
          <t>Клинический рынок ВРТ РФ (TAM клин.)</t>
        </is>
      </c>
      <c r="B12" s="28" t="inlineStr">
        <is>
          <t>~17–61 млрд ₽/год</t>
        </is>
      </c>
      <c r="C12" s="28" t="inlineStr">
        <is>
          <t>Расчёт: ~156 тыс. циклов × ~310 тыс. ₽ средневзвешенно (ОМС+коммерция)</t>
        </is>
      </c>
    </row>
    <row r="13" ht="28.8" customHeight="1" s="29">
      <c r="A13" s="16" t="inlineStr">
        <is>
          <t>SAM — софт и аналитика для ВРТ (софт-часть от чека ~6–14%)</t>
        </is>
      </c>
      <c r="B13" s="28" t="inlineStr">
        <is>
          <t>~3–7 млрд ₽/год</t>
        </is>
      </c>
      <c r="C13" s="28" t="inlineStr">
        <is>
          <t>Экспертная оценка доли ИТ/аналитики в стоимости цикла</t>
        </is>
      </c>
    </row>
    <row r="14">
      <c r="A14" s="16" t="inlineStr">
        <is>
          <t>SOM VitaGen к 2030 (модель)</t>
        </is>
      </c>
      <c r="B14" s="28" t="inlineStr">
        <is>
          <t>504 млн ₽/год</t>
        </is>
      </c>
      <c r="C14" s="28" t="inlineStr">
        <is>
          <t>Расчёт модели; ~13–20% SAM РФ + ранний APAC</t>
        </is>
      </c>
    </row>
    <row r="15">
      <c r="A15" s="16" t="inlineStr">
        <is>
          <t>Циклы ВРТ в Китае в год</t>
        </is>
      </c>
      <c r="B15" s="28" t="inlineStr">
        <is>
          <t>~562–1166 тыс.</t>
        </is>
      </c>
      <c r="C15" s="28" t="inlineStr">
        <is>
          <t>Международные отраслевые оценки (крупнейший в мире рынок ВРТ)</t>
        </is>
      </c>
    </row>
    <row r="16">
      <c r="A16" s="16" t="inlineStr">
        <is>
          <t>Инфертильность в Китае</t>
        </is>
      </c>
      <c r="B16" s="28" t="inlineStr">
        <is>
          <t>~23%</t>
        </is>
      </c>
      <c r="C16" s="28" t="inlineStr">
        <is>
          <t>Оценки Минздрава КНР (цитируются в отраслевой прессе)</t>
        </is>
      </c>
    </row>
    <row r="17">
      <c r="A17" s="16" t="inlineStr">
        <is>
          <t>Рынок Китая (клинический)</t>
        </is>
      </c>
      <c r="B17" s="28" t="inlineStr">
        <is>
          <t>~$12–28 млрд/год</t>
        </is>
      </c>
      <c r="C17" s="28" t="inlineStr">
        <is>
          <t>Отраслевые оценки; рост двузначными темпами</t>
        </is>
      </c>
    </row>
    <row r="18" ht="28.8" customHeight="1" s="29">
      <c r="A18" s="16" t="inlineStr">
        <is>
          <t>Глобальный рынок ИИ в репродуктивной медицине</t>
        </is>
      </c>
      <c r="B18" s="28" t="inlineStr">
        <is>
          <t>~$0,7–3,0 млрд (2025), CAGR 12–17%</t>
        </is>
      </c>
      <c r="C18" s="28" t="inlineStr">
        <is>
          <t>Международные отраслевые обзоры medtech-AI</t>
        </is>
      </c>
    </row>
    <row r="19" ht="43.2" customHeight="1" s="29">
      <c r="A19" s="16" t="inlineStr">
        <is>
          <t>Нормативка РФ для ИИ-МИ</t>
        </is>
      </c>
      <c r="B19" s="28" t="inlineStr">
        <is>
          <t>Порядок регистрации МИ с ПО (приказы МЗ РФ), 152-ФЗ для ПДн</t>
        </is>
      </c>
      <c r="C19" s="28" t="inlineStr">
        <is>
          <t>Минздрав РФ, Росздравнадзор; режим «песочницы» для ИИ-МИ заявлен на уровне ДЗМ/МЗ</t>
        </is>
      </c>
    </row>
    <row r="20">
      <c r="A20" s="16" t="inlineStr">
        <is>
          <t>Китай: регистрация ПО-МИ</t>
        </is>
      </c>
      <c r="B20" s="28" t="inlineStr">
        <is>
          <t>NMPA, Class II (23–26 мес.)</t>
        </is>
      </c>
      <c r="C20" s="28" t="inlineStr">
        <is>
          <t>NMPA (регулятор КНР); для инновационных — пилотная зона Боао Лэчэн</t>
        </is>
      </c>
    </row>
    <row r="21" ht="28.8" customHeight="1" s="29">
      <c r="A21" s="16" t="inlineStr">
        <is>
          <t>Хайнань: льготный КН для поощряемых отраслей</t>
        </is>
      </c>
      <c r="B21" s="28" t="inlineStr">
        <is>
          <t>28%</t>
        </is>
      </c>
      <c r="C21" s="28" t="inlineStr">
        <is>
          <t>Политика зоны свободной торговли Хайнань (СПК Госсовета КНР), в т.ч. высокие технологии/здравоохранение</t>
        </is>
      </c>
    </row>
    <row r="22"/>
    <row r="23"/>
    <row r="24">
      <c r="A24" s="11" t="inlineStr">
        <is>
          <t>TAM / SAM / SOM (РФ + АТР)</t>
        </is>
      </c>
    </row>
    <row r="25">
      <c r="A25" t="inlineStr">
        <is>
          <t>TAM РФ (клинический рынок ВРТ)</t>
        </is>
      </c>
      <c r="B25" t="inlineStr">
        <is>
          <t>17–61 млрд ₽/год</t>
        </is>
      </c>
    </row>
    <row r="26">
      <c r="A26" t="inlineStr">
        <is>
          <t>SAM РФ (софт/аналитика ВРТ)</t>
        </is>
      </c>
      <c r="B26" t="inlineStr">
        <is>
          <t>3–7 млрд ₽/год</t>
        </is>
      </c>
    </row>
    <row r="27">
      <c r="A27" t="inlineStr">
        <is>
          <t>SOM VitaGen РФ к 2030</t>
        </is>
      </c>
      <c r="B27" t="inlineStr">
        <is>
          <t>504 млн ₽/год (модель)</t>
        </is>
      </c>
    </row>
    <row r="28">
      <c r="A28" t="inlineStr">
        <is>
          <t>TAM Китай/АТР (клинический)</t>
        </is>
      </c>
      <c r="B28" t="inlineStr">
        <is>
          <t>~$12–28 млрд/год</t>
        </is>
      </c>
    </row>
    <row r="29">
      <c r="A29" t="inlineStr">
        <is>
          <t>SAM Китай (софт/аналитика)</t>
        </is>
      </c>
      <c r="B29" t="inlineStr">
        <is>
          <t>~$1–3 млрд/год (эксп. оценка)</t>
        </is>
      </c>
    </row>
    <row r="30">
      <c r="A30" t="inlineStr">
        <is>
          <t>SOM VitaGen APAC к 2030</t>
        </is>
      </c>
      <c r="B30" t="inlineStr">
        <is>
          <t>58 млн ₽/год (ранний вход, пилотный масштаб)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4.4"/>
  <cols>
    <col width="62" customWidth="1" style="29" min="1" max="1"/>
    <col width="12" customWidth="1" style="29" min="3" max="7"/>
  </cols>
  <sheetData>
    <row r="1" ht="15.6" customHeight="1" s="29">
      <c r="A1" s="14" t="inlineStr">
        <is>
          <t>ВЫРУЧКА по направлениям, млн ₽ (с коэффициентом сценария)</t>
        </is>
      </c>
    </row>
    <row r="2"/>
    <row r="3" ht="15.6" customHeight="1" s="29">
      <c r="A3" s="4" t="inlineStr">
        <is>
          <t>Показатель</t>
        </is>
      </c>
      <c r="B3" s="4" t="inlineStr">
        <is>
          <t>Ед.</t>
        </is>
      </c>
      <c r="C3" s="5" t="n">
        <v>1292</v>
      </c>
      <c r="D3" s="5" t="n">
        <v>3603</v>
      </c>
      <c r="E3" s="5" t="n">
        <v>3418</v>
      </c>
      <c r="F3" s="5" t="n">
        <v>2889</v>
      </c>
      <c r="G3" s="5" t="n">
        <v>2676</v>
      </c>
    </row>
    <row r="4">
      <c r="A4" t="inlineStr">
        <is>
          <t>Клиническая подписка (SaaS + базовая аналитика)</t>
        </is>
      </c>
      <c r="C4" s="18">
        <f>Допущения!C11*Допущения!C18*Допущения!$C$5</f>
        <v/>
      </c>
      <c r="D4" s="18">
        <f>Допущения!D11*Допущения!D18*Допущения!$C$5</f>
        <v/>
      </c>
      <c r="E4" s="18">
        <f>Допущения!E11*Допущения!E18*Допущения!$C$5</f>
        <v/>
      </c>
      <c r="F4" s="18">
        <f>Допущения!F11*Допущения!F18*Допущения!$C$5</f>
        <v/>
      </c>
      <c r="G4" s="18">
        <f>Допущения!G11*Допущения!G18*Допущения!$C$5</f>
        <v/>
      </c>
    </row>
    <row r="5">
      <c r="A5" t="inlineStr">
        <is>
          <t>Доп. модули (ниPGT-A, эндометрий, мужской геном, перинатология)</t>
        </is>
      </c>
      <c r="C5" s="18">
        <f>Допущения!C12*Допущения!C18*Допущения!$C$5</f>
        <v/>
      </c>
      <c r="D5" s="18">
        <f>Допущения!D12*Допущения!D18*Допущения!$C$5</f>
        <v/>
      </c>
      <c r="E5" s="18">
        <f>Допущения!E12*Допущения!E18*Допущения!$C$5</f>
        <v/>
      </c>
      <c r="F5" s="18">
        <f>Допущения!F12*Допущения!F18*Допущения!$C$5</f>
        <v/>
      </c>
      <c r="G5" s="18">
        <f>Допущения!G12*Допущения!G18*Допущения!$C$5</f>
        <v/>
      </c>
    </row>
    <row r="6">
      <c r="A6" t="inlineStr">
        <is>
          <t>Матчинг донорство / суррогатное материнство</t>
        </is>
      </c>
      <c r="C6" s="18">
        <f>Допущения!C13*Допущения!C20*Допущения!$C$5</f>
        <v/>
      </c>
      <c r="D6" s="18">
        <f>Допущения!D13*Допущения!D20*Допущения!$C$5</f>
        <v/>
      </c>
      <c r="E6" s="18">
        <f>Допущения!E13*Допущения!E20*Допущения!$C$5</f>
        <v/>
      </c>
      <c r="F6" s="18">
        <f>Допущения!F13*Допущения!F20*Допущения!$C$5</f>
        <v/>
      </c>
      <c r="G6" s="18">
        <f>Допущения!G13*Допущения!G20*Допущения!$C$5</f>
        <v/>
      </c>
    </row>
    <row r="7">
      <c r="A7" t="inlineStr">
        <is>
          <t>B2G-аналитика для регионов (CLBR / стоимость живорождения)</t>
        </is>
      </c>
      <c r="C7" s="18">
        <f>Допущения!C14*Допущения!C19*Допущения!$C$5</f>
        <v/>
      </c>
      <c r="D7" s="18">
        <f>Допущения!D14*Допущения!D19*Допущения!$C$5</f>
        <v/>
      </c>
      <c r="E7" s="18">
        <f>Допущения!E14*Допущения!E19*Допущения!$C$5</f>
        <v/>
      </c>
      <c r="F7" s="18">
        <f>Допущения!F14*Допущения!F19*Допущения!$C$5</f>
        <v/>
      </c>
      <c r="G7" s="18">
        <f>Допущения!G14*Допущения!G19*Допущения!$C$5</f>
        <v/>
      </c>
    </row>
    <row r="8">
      <c r="A8" t="inlineStr">
        <is>
          <t>Международное направление: Китай (Хайнань) и АТР</t>
        </is>
      </c>
      <c r="C8" s="18">
        <f>Допущения!C15*Допущения!C21*Допущения!$C$5</f>
        <v/>
      </c>
      <c r="D8" s="18">
        <f>Допущения!D15*Допущения!D21*Допущения!$C$5</f>
        <v/>
      </c>
      <c r="E8" s="18">
        <f>Допущения!E15*Допущения!E21*Допущения!$C$5</f>
        <v/>
      </c>
      <c r="F8" s="18">
        <f>Допущения!F15*Допущения!F21*Допущения!$C$5</f>
        <v/>
      </c>
      <c r="G8" s="18">
        <f>Допущения!G15*Допущения!G21*Допущения!$C$5</f>
        <v/>
      </c>
    </row>
    <row r="9"/>
    <row r="10">
      <c r="A10" s="4" t="inlineStr">
        <is>
          <t>ИТОГО ВЫРУЧКА</t>
        </is>
      </c>
      <c r="C10" s="19">
        <f>SUM(C4:C8)</f>
        <v/>
      </c>
      <c r="D10" s="19">
        <f>SUM(D4:D8)</f>
        <v/>
      </c>
      <c r="E10" s="19">
        <f>SUM(E4:E8)</f>
        <v/>
      </c>
      <c r="F10" s="19">
        <f>SUM(F4:F8)</f>
        <v/>
      </c>
      <c r="G10" s="19">
        <f>SUM(G4:G8)</f>
        <v/>
      </c>
    </row>
    <row r="11"/>
    <row r="12">
      <c r="A12" s="2" t="inlineStr">
        <is>
          <t>Проверка APAC: 2029–2030 — пилот и запуск WFOE в Хайнане (см. лист «Китай_АТР»)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4"/>
  <cols>
    <col width="62" customWidth="1" style="29" min="1" max="1"/>
    <col width="12" customWidth="1" style="29" min="3" max="7"/>
  </cols>
  <sheetData>
    <row r="1" ht="15.6" customHeight="1" s="29">
      <c r="A1" s="14" t="inlineStr">
        <is>
          <t>ОПЕРАЦИОННЫЕ РАСХОДЫ, млн ₽ (с коэффициентом сценария)</t>
        </is>
      </c>
    </row>
    <row r="2"/>
    <row r="3" ht="15.6" customHeight="1" s="29">
      <c r="A3" s="4" t="inlineStr">
        <is>
          <t>Показатель</t>
        </is>
      </c>
      <c r="B3" s="4" t="inlineStr">
        <is>
          <t>Ед.</t>
        </is>
      </c>
      <c r="C3" s="5" t="n">
        <v>1292</v>
      </c>
      <c r="D3" s="5" t="n">
        <v>3603</v>
      </c>
      <c r="E3" s="5" t="n">
        <v>3418</v>
      </c>
      <c r="F3" s="5" t="n">
        <v>2889</v>
      </c>
      <c r="G3" s="5" t="n">
        <v>2676</v>
      </c>
    </row>
    <row r="4">
      <c r="A4" t="inlineStr">
        <is>
          <t>ФОТ с отчислениями</t>
        </is>
      </c>
      <c r="C4" s="18">
        <f>Допущения!C24*Допущения!$C$6</f>
        <v/>
      </c>
      <c r="D4" s="18">
        <f>Допущения!D24*Допущения!$C$6</f>
        <v/>
      </c>
      <c r="E4" s="18">
        <f>Допущения!E24*Допущения!$C$6</f>
        <v/>
      </c>
      <c r="F4" s="18">
        <f>Допущения!F24*Допущения!$C$6</f>
        <v/>
      </c>
      <c r="G4" s="18">
        <f>Допущения!G24*Допущения!$C$6</f>
        <v/>
      </c>
    </row>
    <row r="5">
      <c r="A5" t="inlineStr">
        <is>
          <t>НИОКР (подряды, данные)</t>
        </is>
      </c>
      <c r="C5" s="18">
        <f>Допущения!C25*Допущения!$C$6</f>
        <v/>
      </c>
      <c r="D5" s="18">
        <f>Допущения!D25*Допущения!$C$6</f>
        <v/>
      </c>
      <c r="E5" s="18">
        <f>Допущения!E25*Допущения!$C$6</f>
        <v/>
      </c>
      <c r="F5" s="18">
        <f>Допущения!F25*Допущения!$C$6</f>
        <v/>
      </c>
      <c r="G5" s="18">
        <f>Допущения!G25*Допущения!$C$6</f>
        <v/>
      </c>
    </row>
    <row r="6">
      <c r="A6" t="inlineStr">
        <is>
          <t>Маркетинг и продажи</t>
        </is>
      </c>
      <c r="C6" s="18">
        <f>Допущения!C26*Допущения!$C$6</f>
        <v/>
      </c>
      <c r="D6" s="18">
        <f>Допущения!D26*Допущения!$C$6</f>
        <v/>
      </c>
      <c r="E6" s="18">
        <f>Допущения!E26*Допущения!$C$6</f>
        <v/>
      </c>
      <c r="F6" s="18">
        <f>Допущения!F26*Допущения!$C$6</f>
        <v/>
      </c>
      <c r="G6" s="18">
        <f>Допущения!G26*Допущения!$C$6</f>
        <v/>
      </c>
    </row>
    <row r="7">
      <c r="A7" t="inlineStr">
        <is>
          <t>Инфраструктура / облако</t>
        </is>
      </c>
      <c r="C7" s="18">
        <f>Допущения!C27*Допущения!$C$6</f>
        <v/>
      </c>
      <c r="D7" s="18">
        <f>Допущения!D27*Допущения!$C$6</f>
        <v/>
      </c>
      <c r="E7" s="18">
        <f>Допущения!E27*Допущения!$C$6</f>
        <v/>
      </c>
      <c r="F7" s="18">
        <f>Допущения!F27*Допущения!$C$6</f>
        <v/>
      </c>
      <c r="G7" s="18">
        <f>Допущения!G27*Допущения!$C$6</f>
        <v/>
      </c>
    </row>
    <row r="8">
      <c r="A8" t="inlineStr">
        <is>
          <t>Административные и юридические</t>
        </is>
      </c>
      <c r="C8" s="18">
        <f>Допущения!C28*Допущения!$C$6</f>
        <v/>
      </c>
      <c r="D8" s="18">
        <f>Допущения!D28*Допущения!$C$6</f>
        <v/>
      </c>
      <c r="E8" s="18">
        <f>Допущения!E28*Допущения!$C$6</f>
        <v/>
      </c>
      <c r="F8" s="18">
        <f>Допущения!F28*Допущения!$C$6</f>
        <v/>
      </c>
      <c r="G8" s="18">
        <f>Допущения!G28*Допущения!$C$6</f>
        <v/>
      </c>
    </row>
    <row r="9">
      <c r="A9" t="inlineStr">
        <is>
          <t>Регуляторика РФ + NMPA</t>
        </is>
      </c>
      <c r="C9" s="18">
        <f>Допущения!C29*Допущения!$C$6</f>
        <v/>
      </c>
      <c r="D9" s="18">
        <f>Допущения!D29*Допущения!$C$6</f>
        <v/>
      </c>
      <c r="E9" s="18">
        <f>Допущения!E29*Допущения!$C$6</f>
        <v/>
      </c>
      <c r="F9" s="18">
        <f>Допущения!F29*Допущения!$C$6</f>
        <v/>
      </c>
      <c r="G9" s="18">
        <f>Допущения!G29*Допущения!$C$6</f>
        <v/>
      </c>
    </row>
    <row r="10"/>
    <row r="11">
      <c r="A11" s="4" t="inlineStr">
        <is>
          <t>ИТОГО РАСХОДЫ</t>
        </is>
      </c>
      <c r="C11" s="19">
        <f>SUM(C4:C9)</f>
        <v/>
      </c>
      <c r="D11" s="19">
        <f>SUM(D4:D9)</f>
        <v/>
      </c>
      <c r="E11" s="19">
        <f>SUM(E4:E9)</f>
        <v/>
      </c>
      <c r="F11" s="19">
        <f>SUM(F4:F9)</f>
        <v/>
      </c>
      <c r="G11" s="19">
        <f>SUM(G4:G9)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4.4"/>
  <cols>
    <col width="45" customWidth="1" style="29" min="1" max="1"/>
    <col width="12" customWidth="1" style="29" min="3" max="7"/>
  </cols>
  <sheetData>
    <row r="1" ht="15.6" customHeight="1" s="29">
      <c r="A1" s="14" t="inlineStr">
        <is>
          <t>ОТЧЁТ О ПРИБЫЛЯХ И УБЫТКАХ (усиленный), млн ₽</t>
        </is>
      </c>
    </row>
    <row r="2"/>
    <row r="3" ht="15.6" customHeight="1" s="29">
      <c r="A3" s="4" t="inlineStr">
        <is>
          <t>Показатель</t>
        </is>
      </c>
      <c r="B3" s="4" t="inlineStr">
        <is>
          <t>Ед.</t>
        </is>
      </c>
      <c r="C3" s="5" t="n">
        <v>1292</v>
      </c>
      <c r="D3" s="5" t="n">
        <v>3603</v>
      </c>
      <c r="E3" s="5" t="n">
        <v>3418</v>
      </c>
      <c r="F3" s="5" t="n">
        <v>2889</v>
      </c>
      <c r="G3" s="5" t="n">
        <v>2676</v>
      </c>
    </row>
    <row r="4">
      <c r="A4" t="inlineStr">
        <is>
          <t>Выручка</t>
        </is>
      </c>
      <c r="C4" s="18">
        <f>Выручка!C10</f>
        <v/>
      </c>
      <c r="D4" s="18">
        <f>Выручка!D10</f>
        <v/>
      </c>
      <c r="E4" s="18">
        <f>Выручка!E10</f>
        <v/>
      </c>
      <c r="F4" s="18">
        <f>Выручка!F10</f>
        <v/>
      </c>
      <c r="G4" s="18">
        <f>Выручка!G10</f>
        <v/>
      </c>
    </row>
    <row r="5"/>
    <row r="6">
      <c r="A6" t="inlineStr">
        <is>
          <t>Операционные расходы</t>
        </is>
      </c>
      <c r="C6" s="18">
        <f>-Расходы!C11</f>
        <v/>
      </c>
      <c r="D6" s="18">
        <f>-Расходы!D11</f>
        <v/>
      </c>
      <c r="E6" s="18">
        <f>-Расходы!E11</f>
        <v/>
      </c>
      <c r="F6" s="18">
        <f>-Расходы!F11</f>
        <v/>
      </c>
      <c r="G6" s="18">
        <f>-Расходы!G11</f>
        <v/>
      </c>
    </row>
    <row r="7"/>
    <row r="8">
      <c r="A8" s="4" t="inlineStr">
        <is>
          <t>EBITDA</t>
        </is>
      </c>
      <c r="C8" s="19">
        <f>C4+C6</f>
        <v/>
      </c>
      <c r="D8" s="19">
        <f>D4+D6</f>
        <v/>
      </c>
      <c r="E8" s="19">
        <f>E4+E6</f>
        <v/>
      </c>
      <c r="F8" s="19">
        <f>F4+F6</f>
        <v/>
      </c>
      <c r="G8" s="19">
        <f>G4+G6</f>
        <v/>
      </c>
    </row>
    <row r="9">
      <c r="A9" t="inlineStr">
        <is>
          <t>EBITDA-маржа</t>
        </is>
      </c>
      <c r="C9" s="20">
        <f>IF(C4=0,0,C8/C4)</f>
        <v/>
      </c>
      <c r="D9" s="20">
        <f>IF(D4=0,0,D8/D4)</f>
        <v/>
      </c>
      <c r="E9" s="20">
        <f>IF(E4=0,0,E8/E4)</f>
        <v/>
      </c>
      <c r="F9" s="20">
        <f>IF(F4=0,0,F8/F4)</f>
        <v/>
      </c>
      <c r="G9" s="20">
        <f>IF(G4=0,0,G8/G4)</f>
        <v/>
      </c>
    </row>
    <row r="10"/>
    <row r="11">
      <c r="A11" t="inlineStr">
        <is>
          <t>Налог УСН «доходы» (8%)</t>
        </is>
      </c>
      <c r="C11" s="18">
        <f>-MAX(0,C8)*Допущения!C32/100</f>
        <v/>
      </c>
      <c r="D11" s="18">
        <f>-MAX(0,D8)*Допущения!D32/100</f>
        <v/>
      </c>
      <c r="E11" s="18">
        <f>-MAX(0,E8)*Допущения!E32/100</f>
        <v/>
      </c>
      <c r="F11" s="18">
        <f>-MAX(0,F8)*Допущения!F32/100</f>
        <v/>
      </c>
      <c r="G11" s="18">
        <f>-MAX(0,G8)*Допущения!G32/100</f>
        <v/>
      </c>
    </row>
    <row r="12">
      <c r="A12" s="4" t="inlineStr">
        <is>
          <t>Чистая прибыль</t>
        </is>
      </c>
      <c r="C12" s="19">
        <f>C8+C11</f>
        <v/>
      </c>
      <c r="D12" s="19">
        <f>D8+D11</f>
        <v/>
      </c>
      <c r="E12" s="19">
        <f>E8+E11</f>
        <v/>
      </c>
      <c r="F12" s="19">
        <f>F8+F11</f>
        <v/>
      </c>
      <c r="G12" s="19">
        <f>G8+G11</f>
        <v/>
      </c>
    </row>
    <row r="13">
      <c r="A13" t="inlineStr">
        <is>
          <t>Чистая маржа</t>
        </is>
      </c>
      <c r="C13" s="20">
        <f>IF(C4=0,0,C12/C4)</f>
        <v/>
      </c>
      <c r="D13" s="20">
        <f>IF(D4=0,0,D12/D4)</f>
        <v/>
      </c>
      <c r="E13" s="20">
        <f>IF(E4=0,0,E12/E4)</f>
        <v/>
      </c>
      <c r="F13" s="20">
        <f>IF(F4=0,0,F12/F4)</f>
        <v/>
      </c>
      <c r="G13" s="20">
        <f>IF(G4=0,0,G12/G4)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4.4"/>
  <cols>
    <col width="55" customWidth="1" style="29" min="1" max="1"/>
    <col width="12" customWidth="1" style="29" min="3" max="7"/>
  </cols>
  <sheetData>
    <row r="1" ht="15.6" customHeight="1" s="29">
      <c r="A1" s="14" t="inlineStr">
        <is>
          <t>ОТЧЁТ О ДВИЖЕНИИ ДЕНЕЖНЫХ СРЕДСТВ (упрощённый), млн ₽</t>
        </is>
      </c>
    </row>
    <row r="2"/>
    <row r="3" ht="15.6" customHeight="1" s="29">
      <c r="A3" s="4" t="inlineStr">
        <is>
          <t>Показатель</t>
        </is>
      </c>
      <c r="B3" s="4" t="inlineStr">
        <is>
          <t>Ед.</t>
        </is>
      </c>
      <c r="C3" s="5" t="n">
        <v>1292</v>
      </c>
      <c r="D3" s="5" t="n">
        <v>3603</v>
      </c>
      <c r="E3" s="5" t="n">
        <v>3418</v>
      </c>
      <c r="F3" s="5" t="n">
        <v>2889</v>
      </c>
      <c r="G3" s="5" t="n">
        <v>2676</v>
      </c>
    </row>
    <row r="4">
      <c r="A4" t="inlineStr">
        <is>
          <t>Остаток на начало года</t>
        </is>
      </c>
      <c r="C4" s="18" t="n">
        <v>0</v>
      </c>
      <c r="D4" s="18">
        <f>C11</f>
        <v/>
      </c>
      <c r="E4" s="18">
        <f>D11</f>
        <v/>
      </c>
      <c r="F4" s="18">
        <f>E11</f>
        <v/>
      </c>
      <c r="G4" s="18">
        <f>F11</f>
        <v/>
      </c>
    </row>
    <row r="5"/>
    <row r="6">
      <c r="A6" t="inlineStr">
        <is>
          <t>Операционный денежный поток (=EBITDA, прокси)</t>
        </is>
      </c>
      <c r="C6" s="18">
        <f>PnL!C8</f>
        <v/>
      </c>
      <c r="D6" s="18">
        <f>PnL!D8</f>
        <v/>
      </c>
      <c r="E6" s="18">
        <f>PnL!E8</f>
        <v/>
      </c>
      <c r="F6" s="18">
        <f>PnL!F8</f>
        <v/>
      </c>
      <c r="G6" s="18">
        <f>PnL!G8</f>
        <v/>
      </c>
    </row>
    <row r="7">
      <c r="A7" t="inlineStr">
        <is>
          <t>Поступления: Раунд 1 (Seed)</t>
        </is>
      </c>
      <c r="C7" s="18">
        <f>Допущения!C33</f>
        <v/>
      </c>
      <c r="D7" s="18">
        <f>Допущения!D33</f>
        <v/>
      </c>
      <c r="E7" s="18">
        <f>Допущения!E33</f>
        <v/>
      </c>
      <c r="F7" s="18">
        <f>Допущения!F33</f>
        <v/>
      </c>
      <c r="G7" s="18">
        <f>Допущения!G33</f>
        <v/>
      </c>
    </row>
    <row r="8">
      <c r="A8" t="inlineStr">
        <is>
          <t>Поступления: Раунд 2 (Series A)</t>
        </is>
      </c>
      <c r="C8" s="18">
        <f>Допущения!C34</f>
        <v/>
      </c>
      <c r="D8" s="18">
        <f>Допущения!D34</f>
        <v/>
      </c>
      <c r="E8" s="18">
        <f>Допущения!E34</f>
        <v/>
      </c>
      <c r="F8" s="18">
        <f>Допущения!F34</f>
        <v/>
      </c>
      <c r="G8" s="18">
        <f>Допущения!G34</f>
        <v/>
      </c>
    </row>
    <row r="9">
      <c r="A9" t="inlineStr">
        <is>
          <t>Поступления: гранты (non-dilutive)</t>
        </is>
      </c>
      <c r="C9" s="18">
        <f>Допущения!C35</f>
        <v/>
      </c>
      <c r="D9" s="18">
        <f>Допущения!D35</f>
        <v/>
      </c>
      <c r="E9" s="18">
        <f>Допущения!E35</f>
        <v/>
      </c>
      <c r="F9" s="18">
        <f>Допущения!F35</f>
        <v/>
      </c>
      <c r="G9" s="18">
        <f>Допущения!G35</f>
        <v/>
      </c>
    </row>
    <row r="10"/>
    <row r="11">
      <c r="A11" s="4" t="inlineStr">
        <is>
          <t>Остаток на конец года</t>
        </is>
      </c>
      <c r="C11" s="19">
        <f>C4+SUM(C6:C9)</f>
        <v/>
      </c>
      <c r="D11" s="19">
        <f>D4+SUM(D6:D9)</f>
        <v/>
      </c>
      <c r="E11" s="19">
        <f>E4+SUM(E6:E9)</f>
        <v/>
      </c>
      <c r="F11" s="19">
        <f>F4+SUM(F6:F9)</f>
        <v/>
      </c>
      <c r="G11" s="19">
        <f>G4+SUM(G6:G9)</f>
        <v/>
      </c>
    </row>
    <row r="12"/>
    <row r="13">
      <c r="A13" s="2" t="inlineStr">
        <is>
          <t>Комментарий: пик дефицита — конец 2027 г.; покрывается Раундами 1+3 (186,0 млн ₽) с резервом; выход в плюс — 2029 г.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4.4"/>
  <cols>
    <col width="58" customWidth="1" style="29" min="1" max="1"/>
    <col width="16" customWidth="1" style="29" min="2" max="4"/>
  </cols>
  <sheetData>
    <row r="1" ht="15.6" customHeight="1" s="29">
      <c r="A1" s="14" t="inlineStr">
        <is>
          <t>СДЕЛКА, CAP TABLE И ДОХОДНОСТЬ ИНВЕСТОРА</t>
        </is>
      </c>
    </row>
    <row r="2"/>
    <row r="3">
      <c r="A3" s="11" t="inlineStr">
        <is>
          <t>Раунд 1 — Seed (2026)</t>
        </is>
      </c>
    </row>
    <row r="4">
      <c r="A4" t="inlineStr">
        <is>
          <t>Pre-money (вкл. оценку ИС 78 млн ₽)</t>
        </is>
      </c>
      <c r="B4">
        <f>Допущения!C38</f>
        <v/>
      </c>
    </row>
    <row r="5">
      <c r="A5" t="inlineStr">
        <is>
          <t>Сумма инвестиций</t>
        </is>
      </c>
      <c r="B5">
        <f>Допущения!C33</f>
        <v/>
      </c>
    </row>
    <row r="6">
      <c r="A6" t="inlineStr">
        <is>
          <t>Post-money</t>
        </is>
      </c>
      <c r="B6">
        <f>B4+B5</f>
        <v/>
      </c>
    </row>
    <row r="7">
      <c r="A7" t="inlineStr">
        <is>
          <t>Доля инвестора 1</t>
        </is>
      </c>
      <c r="B7" s="20">
        <f>B5/B6</f>
        <v/>
      </c>
    </row>
    <row r="8">
      <c r="A8" t="inlineStr">
        <is>
          <t>Формат</t>
        </is>
      </c>
      <c r="B8" t="inlineStr">
        <is>
          <t>Привилегированные акции, ликвидационная привилегия 1,8×</t>
        </is>
      </c>
    </row>
    <row r="9"/>
    <row r="10">
      <c r="A10" s="11" t="inlineStr">
        <is>
          <t>Раунд 2 — Series A (2027)</t>
        </is>
      </c>
    </row>
    <row r="11">
      <c r="A11" t="inlineStr">
        <is>
          <t>Pre-money</t>
        </is>
      </c>
      <c r="B11">
        <f>Допущения!C39</f>
        <v/>
      </c>
    </row>
    <row r="12">
      <c r="A12" t="inlineStr">
        <is>
          <t>Сумма инвестиций</t>
        </is>
      </c>
      <c r="B12">
        <f>Допущения!D34</f>
        <v/>
      </c>
    </row>
    <row r="13">
      <c r="A13" t="inlineStr">
        <is>
          <t>Post-money</t>
        </is>
      </c>
      <c r="B13">
        <f>B11+B12</f>
        <v/>
      </c>
    </row>
    <row r="14">
      <c r="A14" t="inlineStr">
        <is>
          <t>Доля инвестора 3</t>
        </is>
      </c>
      <c r="B14" s="20">
        <f>B12/B13</f>
        <v/>
      </c>
    </row>
    <row r="15"/>
    <row r="16">
      <c r="A16" s="11" t="inlineStr">
        <is>
          <t>CAP TABLE после Раунда 3 (доля в капитале)</t>
        </is>
      </c>
    </row>
    <row r="17">
      <c r="A17" t="inlineStr">
        <is>
          <t>Участник</t>
        </is>
      </c>
      <c r="B17" s="4" t="inlineStr">
        <is>
          <t>Доля</t>
        </is>
      </c>
    </row>
    <row r="18">
      <c r="A18" t="inlineStr">
        <is>
          <t>Основатель / ООО «МедТехПрима» (обыкновенные)</t>
        </is>
      </c>
      <c r="B18" s="20">
        <f>(1-B7)*(1-B14)*0.85/0.88</f>
        <v/>
      </c>
    </row>
    <row r="19">
      <c r="A19" t="inlineStr">
        <is>
          <t>Опционный пул для команды (26% пост-инвест, упрощённо)</t>
        </is>
      </c>
      <c r="B19" s="20">
        <f>(1-B7)*(1-B14)*0.12/0.88</f>
        <v/>
      </c>
    </row>
    <row r="20">
      <c r="A20" t="inlineStr">
        <is>
          <t>Инвестор 1 (привилегированные, Раунд 1)</t>
        </is>
      </c>
      <c r="B20" s="20">
        <f>B7*(1-B14)</f>
        <v/>
      </c>
    </row>
    <row r="21">
      <c r="A21" t="inlineStr">
        <is>
          <t>Инвестор 3 (привилегированные, Раунд 2)</t>
        </is>
      </c>
      <c r="B21" s="20">
        <f>B14</f>
        <v/>
      </c>
    </row>
    <row r="22">
      <c r="A22" t="inlineStr">
        <is>
          <t>ИТОГО</t>
        </is>
      </c>
      <c r="B22" s="21">
        <f>B18+B19+B20+B21</f>
        <v/>
      </c>
    </row>
    <row r="23"/>
    <row r="24">
      <c r="A24" s="11" t="inlineStr">
        <is>
          <t>ВЫХОД (2031, стратегический покупатель)</t>
        </is>
      </c>
    </row>
    <row r="25">
      <c r="A25" t="inlineStr">
        <is>
          <t>EBITDA 2031</t>
        </is>
      </c>
      <c r="B25" s="22">
        <f>Допущения!C40</f>
        <v/>
      </c>
    </row>
    <row r="26">
      <c r="A26" t="inlineStr">
        <is>
          <t>Множитель</t>
        </is>
      </c>
      <c r="B26">
        <f>Допущения!C41</f>
        <v/>
      </c>
    </row>
    <row r="27">
      <c r="A27" t="inlineStr">
        <is>
          <t>Стоимость компании при выходе</t>
        </is>
      </c>
      <c r="B27" s="22">
        <f>B25*B26</f>
        <v/>
      </c>
    </row>
    <row r="28">
      <c r="A28" t="inlineStr">
        <is>
          <t>Выплата инвестору 1 (пропорционально доле)</t>
        </is>
      </c>
      <c r="B28" s="22">
        <f>B27*B20</f>
        <v/>
      </c>
    </row>
    <row r="29">
      <c r="A29" t="inlineStr">
        <is>
          <t>Выплата инвестору 3 (пропорционально доле)</t>
        </is>
      </c>
      <c r="B29" s="22">
        <f>B27*B21</f>
        <v/>
      </c>
    </row>
    <row r="30">
      <c r="A30" t="inlineStr">
        <is>
          <t>Кратность для инвестора 1</t>
        </is>
      </c>
      <c r="B30" s="23">
        <f>B28/B5</f>
        <v/>
      </c>
    </row>
    <row r="31">
      <c r="A31" t="inlineStr">
        <is>
          <t>Кратность для инвестора 3</t>
        </is>
      </c>
      <c r="B31" s="23">
        <f>B29/B12</f>
        <v/>
      </c>
    </row>
    <row r="32"/>
    <row r="33">
      <c r="A33" s="11" t="inlineStr">
        <is>
          <t>ДЕНЕЖНЫЕ ПОТОКИ ИНВЕСТОРА И ДОХОДНОСТЬ (годовые)</t>
        </is>
      </c>
    </row>
    <row r="34">
      <c r="A34" t="inlineStr">
        <is>
          <t>Год</t>
        </is>
      </c>
      <c r="B34" s="4" t="inlineStr">
        <is>
          <t>Инвестор 1</t>
        </is>
      </c>
      <c r="C34" s="4" t="inlineStr">
        <is>
          <t>Инвестор 3</t>
        </is>
      </c>
    </row>
    <row r="35">
      <c r="A35" t="n">
        <v>1292</v>
      </c>
      <c r="B35" s="24">
        <f>-Допущения!C33</f>
        <v/>
      </c>
      <c r="C35" s="24" t="n">
        <v>0</v>
      </c>
    </row>
    <row r="36">
      <c r="A36" t="n">
        <v>3603</v>
      </c>
      <c r="B36" s="24" t="n">
        <v>0</v>
      </c>
      <c r="C36" s="24">
        <f>-Допущения!D34</f>
        <v/>
      </c>
    </row>
    <row r="37">
      <c r="A37" t="n">
        <v>3418</v>
      </c>
      <c r="B37" s="24" t="n">
        <v>0</v>
      </c>
      <c r="C37" s="24" t="n">
        <v>0</v>
      </c>
    </row>
    <row r="38">
      <c r="A38" t="n">
        <v>2889</v>
      </c>
      <c r="B38" s="24" t="n">
        <v>0</v>
      </c>
      <c r="C38" s="24" t="n">
        <v>0</v>
      </c>
    </row>
    <row r="39">
      <c r="A39" t="n">
        <v>2676</v>
      </c>
      <c r="B39" s="24" t="n">
        <v>0</v>
      </c>
      <c r="C39" s="24" t="n">
        <v>0</v>
      </c>
    </row>
    <row r="40">
      <c r="A40" t="n">
        <v>1847</v>
      </c>
      <c r="B40" s="24">
        <f>B28</f>
        <v/>
      </c>
      <c r="C40" s="24">
        <f>B29</f>
        <v/>
      </c>
    </row>
    <row r="41"/>
    <row r="42">
      <c r="A42" t="inlineStr">
        <is>
          <t>IRR инвестора 1 (2026→2031)</t>
        </is>
      </c>
      <c r="B42" s="25">
        <f>IRR(B35:B40)</f>
        <v/>
      </c>
    </row>
    <row r="43">
      <c r="A43" t="inlineStr">
        <is>
          <t>IRR инвестора 3 (2027→2031)</t>
        </is>
      </c>
      <c r="B43" s="25">
        <f>IRR(C36:C40)</f>
        <v/>
      </c>
    </row>
    <row r="44">
      <c r="A44" t="inlineStr">
        <is>
          <t>NPV инвестора 1 при ставке 17%</t>
        </is>
      </c>
      <c r="B44" s="24">
        <f>NPV(Допущения!C42,B35:B40)</f>
        <v/>
      </c>
    </row>
    <row r="45">
      <c r="A45" t="inlineStr">
        <is>
          <t>Срок окупаемости инвестора 1</t>
        </is>
      </c>
      <c r="B45" t="inlineStr">
        <is>
          <t>к 2031 (выход); операционная безубыточность проекта — 2029</t>
        </is>
      </c>
    </row>
    <row r="46"/>
    <row r="47">
      <c r="A47" s="11" t="inlineStr">
        <is>
          <t>ЧУВСТВИТЕЛЬНОСТЬ: цена выхода (множитель EBITDA 2031 = 320 млн ₽)</t>
        </is>
      </c>
    </row>
    <row r="48">
      <c r="A48" t="inlineStr">
        <is>
          <t>Множитель</t>
        </is>
      </c>
      <c r="B48" t="inlineStr">
        <is>
          <t>Стоимость при выходе</t>
        </is>
      </c>
      <c r="C48" t="inlineStr">
        <is>
          <t>Выплата инв. 1</t>
        </is>
      </c>
      <c r="D48" t="inlineStr">
        <is>
          <t>Кратность инв. 1</t>
        </is>
      </c>
    </row>
    <row r="49">
      <c r="A49" t="n">
        <v>8.5</v>
      </c>
      <c r="B49" s="22">
        <f>A49*180</f>
        <v/>
      </c>
      <c r="C49" s="22">
        <f>B49*B20</f>
        <v/>
      </c>
      <c r="D49" s="23">
        <f>C49/Допущения!C33</f>
        <v/>
      </c>
    </row>
    <row r="50">
      <c r="A50" t="n">
        <v>6.5</v>
      </c>
      <c r="B50" s="22">
        <f>A50*180</f>
        <v/>
      </c>
      <c r="C50" s="22">
        <f>B50*B20</f>
        <v/>
      </c>
      <c r="D50" s="23">
        <f>C50/Допущения!C33</f>
        <v/>
      </c>
    </row>
    <row r="51">
      <c r="A51" t="n">
        <v>14</v>
      </c>
      <c r="B51" s="22">
        <f>A51*180</f>
        <v/>
      </c>
      <c r="C51" s="22">
        <f>B51*B20</f>
        <v/>
      </c>
      <c r="D51" s="23">
        <f>C51/Допущения!C33</f>
        <v/>
      </c>
    </row>
    <row r="52"/>
    <row r="53">
      <c r="A53" s="11" t="inlineStr">
        <is>
          <t>Структура юрлиц (рекомендация)</t>
        </is>
      </c>
    </row>
    <row r="54">
      <c r="A54" s="28" t="inlineStr">
        <is>
          <t>1) ООО «МедТехПрима» — существующий холдинг (остальные проекты), вносит ИС VitaGen в УК нового АО по отчёту оценщика.
3) Непубличное АО «ВИТА ГЕН АИ» — проектная компания: обыкновенные (основатель/МедТехПрима) + привилегированные (инвесторы), акционерное соглашение (tag-along, drag-along, право первой продажи, вето на продажу ИС), опционный пул 26%.
7) VitaGen AI (Hainan) Co., Ltd — WFOE в зоне свободной торговли Хайнань (льготный КН 28%, пилот Боао Лэчэн), дочерняя компания международного направления; геномные данные по PIPL не покидают КНР.</t>
        </is>
      </c>
    </row>
    <row r="55"/>
    <row r="56"/>
    <row r="57"/>
    <row r="58"/>
  </sheetData>
  <mergeCells count="1">
    <mergeCell ref="A54:G5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4.4"/>
  <cols>
    <col width="55" customWidth="1" style="29" min="1" max="2"/>
    <col width="22" customWidth="1" style="29" min="3" max="3"/>
    <col width="14" customWidth="1" style="29" min="4" max="4"/>
    <col width="16" customWidth="1" style="29" min="5" max="5"/>
    <col width="45" customWidth="1" style="29" min="6" max="6"/>
  </cols>
  <sheetData>
    <row r="1" ht="15.6" customHeight="1" s="29">
      <c r="A1" s="14" t="inlineStr">
        <is>
          <t>ИНТЕЛЛЕКТУАЛЬНАЯ СОБСТВЕННОСТЬ (РИДы) И ЕЁ ОЦЕНКА — вклад в стоимость компании</t>
        </is>
      </c>
    </row>
    <row r="2"/>
    <row r="3" ht="46.8" customHeight="1" s="29">
      <c r="A3" s="15" t="inlineStr">
        <is>
          <t>№</t>
        </is>
      </c>
      <c r="B3" s="15" t="inlineStr">
        <is>
          <t>РИД / объект</t>
        </is>
      </c>
      <c r="C3" s="15" t="inlineStr">
        <is>
          <t>Статус</t>
        </is>
      </c>
      <c r="D3" s="15" t="inlineStr">
        <is>
          <t>Накопленные затраты, млн ₽</t>
        </is>
      </c>
      <c r="E3" s="15" t="inlineStr">
        <is>
          <t>Рыночная оценка, млн ₽</t>
        </is>
      </c>
      <c r="F3" s="15" t="inlineStr">
        <is>
          <t>Комментарий</t>
        </is>
      </c>
    </row>
    <row r="4" ht="43.2" customHeight="1" s="29">
      <c r="A4" s="26" t="n">
        <v>0.74</v>
      </c>
      <c r="B4" s="26" t="inlineStr">
        <is>
          <t>Свидетельство о включении в реестр РИД №40-2161-967 от 30.03.2026 (алгоритм/программа прогноза)</t>
        </is>
      </c>
      <c r="C4" s="26" t="inlineStr">
        <is>
          <t>Получено</t>
        </is>
      </c>
      <c r="D4" s="26" t="n">
        <v>6.1</v>
      </c>
      <c r="E4" s="26" t="inlineStr">
        <is>
          <t>23–26</t>
        </is>
      </c>
      <c r="F4" s="26" t="inlineStr">
        <is>
          <t>Правообладатель на старте — Петрушина М.В./МедТехПрима; планируется передача в АО «ВИТА ГЕН АИ» вкладом в УК</t>
        </is>
      </c>
    </row>
    <row r="5" ht="28.8" customHeight="1" s="29">
      <c r="A5" s="26" t="n">
        <v>2.9</v>
      </c>
      <c r="B5" s="26" t="inlineStr">
        <is>
          <t>ПОЭВМ «VitaGen-AI Core» — мультимодальная платформа (5 уровней данных)</t>
        </is>
      </c>
      <c r="C5" s="26" t="inlineStr">
        <is>
          <t>Разработка / подача в ЕРИР 2026</t>
        </is>
      </c>
      <c r="D5" s="26" t="n">
        <v>16</v>
      </c>
      <c r="E5" s="26" t="inlineStr">
        <is>
          <t>12–40</t>
        </is>
      </c>
      <c r="F5" s="26" t="inlineStr">
        <is>
          <t>Ключевой актив; эксклюзивная лицензия или вклад в УК</t>
        </is>
      </c>
    </row>
    <row r="6" ht="28.8" customHeight="1" s="29">
      <c r="A6" s="26" t="n">
        <v>7.1</v>
      </c>
      <c r="B6" s="26" t="inlineStr">
        <is>
          <t>ПОЭВМ модулей: эндометрий, niPGT-A, мужской геном, перинатальные прогнозы</t>
        </is>
      </c>
      <c r="C6" s="26" t="inlineStr">
        <is>
          <t>План: заявки 2027–2028</t>
        </is>
      </c>
      <c r="D6" s="26" t="n">
        <v>7.6</v>
      </c>
      <c r="E6" s="26" t="inlineStr">
        <is>
          <t>23–26</t>
        </is>
      </c>
      <c r="F6" s="26" t="inlineStr">
        <is>
          <t>Расширение линейки — рост ARPU</t>
        </is>
      </c>
    </row>
    <row r="7" ht="28.8" customHeight="1" s="29">
      <c r="A7" s="26" t="n">
        <v>3.4</v>
      </c>
      <c r="B7" s="26" t="inlineStr">
        <is>
          <t>Патентные заявки на изобретения: способ прогноза с интеграцией DFI; иммунный матчинг KIR/HLA-C</t>
        </is>
      </c>
      <c r="C7" s="26" t="inlineStr">
        <is>
          <t>План: подача 2026–2027</t>
        </is>
      </c>
      <c r="D7" s="26" t="n">
        <v>13</v>
      </c>
      <c r="E7" s="26" t="inlineStr">
        <is>
          <t>14–28</t>
        </is>
      </c>
      <c r="F7" s="26" t="inlineStr">
        <is>
          <t>Прорывные компоненты; патентная защита повышает barrier to entry</t>
        </is>
      </c>
    </row>
    <row r="8" ht="28.8" customHeight="1" s="29">
      <c r="A8" s="26" t="n">
        <v>8.5</v>
      </c>
      <c r="B8" s="26" t="inlineStr">
        <is>
          <t>Know-how: обезличенный клинический датасет, методологии аннотации, чек-листы готовности данных</t>
        </is>
      </c>
      <c r="C8" s="26" t="inlineStr">
        <is>
          <t>Формируется в пилоте</t>
        </is>
      </c>
      <c r="D8" s="26" t="n">
        <v>8.5</v>
      </c>
      <c r="E8" s="26" t="inlineStr">
        <is>
          <t>6–26</t>
        </is>
      </c>
      <c r="F8" s="26" t="inlineStr">
        <is>
          <t>Датасет — стратегический актив (защита: 152-ФЗ, договоры с клиниками)</t>
        </is>
      </c>
    </row>
    <row r="9">
      <c r="A9" s="26" t="n">
        <v>13</v>
      </c>
      <c r="B9" s="26" t="inlineStr">
        <is>
          <t>Товарный знак VitaGen</t>
        </is>
      </c>
      <c r="C9" s="26" t="inlineStr">
        <is>
          <t>Заявка</t>
        </is>
      </c>
      <c r="D9" s="26" t="n">
        <v>0.36</v>
      </c>
      <c r="E9" s="26" t="inlineStr">
        <is>
          <t>1–3</t>
        </is>
      </c>
      <c r="F9" s="26" t="inlineStr">
        <is>
          <t>Бренд для B2B/B2G и экспорта</t>
        </is>
      </c>
    </row>
    <row r="10"/>
    <row r="11">
      <c r="C11" s="4" t="inlineStr">
        <is>
          <t>ИТОГО</t>
        </is>
      </c>
      <c r="D11" s="4">
        <f>SUM(D4:D9)</f>
        <v/>
      </c>
      <c r="E11" s="4" t="inlineStr">
        <is>
          <t>95–166 (диапазон)</t>
        </is>
      </c>
    </row>
    <row r="12"/>
    <row r="13">
      <c r="A13" s="11" t="inlineStr">
        <is>
          <t>МЕТОДЫ ОЦЕНКИ (три подхода)</t>
        </is>
      </c>
    </row>
    <row r="14" ht="28.8" customHeight="1" s="29">
      <c r="A14" s="4" t="inlineStr">
        <is>
          <t>Затратный подход</t>
        </is>
      </c>
      <c r="B14" s="28" t="inlineStr">
        <is>
          <t>Накопленные затраты на НИОКР + амортизация риска неуспеха: ~70–78 млн ₽</t>
        </is>
      </c>
    </row>
    <row r="15" ht="28.8" customHeight="1" s="29">
      <c r="A15" s="4" t="inlineStr">
        <is>
          <t>Рыночный подход (сделки лицензирования medtech-AI)</t>
        </is>
      </c>
      <c r="B15" s="28" t="inlineStr">
        <is>
          <t>Роялти 6–8% от выручки, дисконтирование потоков: ~92–131 млн ₽</t>
        </is>
      </c>
    </row>
    <row r="16">
      <c r="A16" s="4" t="inlineStr">
        <is>
          <t>Договорной / доходный (DCF доли ИС в стоимости проекта)</t>
        </is>
      </c>
      <c r="B16" s="28" t="inlineStr">
        <is>
          <t>Доля ИС в стоимости проекта 61–70%: ~78–126 млн ₽</t>
        </is>
      </c>
    </row>
    <row r="17" ht="28.8" customHeight="1" s="29">
      <c r="A17" s="4" t="inlineStr">
        <is>
          <t>Принятая к вкладу в УК оценка (консервативная)</t>
        </is>
      </c>
      <c r="B17" s="28" t="inlineStr">
        <is>
          <t>78 млн ₽ — по отчёту независимого оценщика (обязателен: ст. 47 ФЗ «Об АО», 273-ФЗ «Об оценочной деятельности»)</t>
        </is>
      </c>
    </row>
    <row r="18"/>
    <row r="19">
      <c r="A19" s="28" t="inlineStr">
        <is>
          <t>Вклад ИС в АО: МедТехПрима вносит РИДы в УК АО «ВИТА ГЕН АИ» по оценке 78 млн ₽ → доля холдинга в УК до раундов. Инвестор получает гарантии: ИС принадлежит проектной компании (не холдингу), эксклюзивно, без обременений.</t>
        </is>
      </c>
    </row>
    <row r="20"/>
    <row r="21"/>
  </sheetData>
  <mergeCells count="1">
    <mergeCell ref="A19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4.4"/>
  <cols>
    <col width="28" customWidth="1" style="29" min="1" max="1"/>
    <col width="110" customWidth="1" style="29" min="2" max="2"/>
  </cols>
  <sheetData>
    <row r="1" ht="15.6" customHeight="1" s="29">
      <c r="A1" s="14" t="inlineStr">
        <is>
          <t>МЕЖДУНАРОДНОЕ НАПРАВЛЕНИЕ: КИТАЙ (ХАЙНАНЬ) И АЗИАТСКО-ТИХООКЕАНСКИЙ РЫНОК</t>
        </is>
      </c>
    </row>
    <row r="2"/>
    <row r="3" ht="15.6" customHeight="1" s="29">
      <c r="A3" s="27" t="inlineStr">
        <is>
          <t>Элемент</t>
        </is>
      </c>
      <c r="B3" s="27" t="inlineStr">
        <is>
          <t>Содержание</t>
        </is>
      </c>
    </row>
    <row r="4" ht="28.8" customHeight="1" s="29">
      <c r="A4" s="26" t="inlineStr">
        <is>
          <t>Юридическая форма</t>
        </is>
      </c>
      <c r="B4" s="26" t="inlineStr">
        <is>
          <t>VitaGen AI (Hainan) Co., Ltd — wholly foreign-owned enterprise (WFOE) в зоне свободной торговли Хайнань; опционально промежуточный холд-ко в Гонконге для структурирования</t>
        </is>
      </c>
    </row>
    <row r="5" ht="43.2" customHeight="1" s="29">
      <c r="A5" s="26" t="inlineStr">
        <is>
          <t>Зона/режим</t>
        </is>
      </c>
      <c r="B5" s="26" t="inlineStr">
        <is>
          <t>Хайнаньская зона свободной торговли (политика СПК Госсовета КНР): льготный корпоративный налог 28% для отраслей по списку поощряемых (высокие технологии, здравоохранение); пилотная зона Боао Лэчэн — упрощённый доступ инновационных медизделий</t>
        </is>
      </c>
    </row>
    <row r="6" ht="28.8" customHeight="1" s="29">
      <c r="A6" s="26" t="inlineStr">
        <is>
          <t>Модель входа</t>
        </is>
      </c>
      <c r="B6" s="26" t="inlineStr">
        <is>
          <t>Лицензия ПО + revenue share с клиниками-партнёрами/дистрибьютором; опционально JV с местной medtech/лабораторией на позднем этапе</t>
        </is>
      </c>
    </row>
    <row r="7" ht="28.8" customHeight="1" s="29">
      <c r="A7" s="26" t="inlineStr">
        <is>
          <t>Регуляторика</t>
        </is>
      </c>
      <c r="B7" s="26" t="inlineStr">
        <is>
          <t>NMPA: регистрация ПО как медицинского изделия II класса (23–26 мес.); в Боао Лэчэн — пилотный режим допуска инновационных устройств</t>
        </is>
      </c>
    </row>
    <row r="8" ht="28.8" customHeight="1" s="29">
      <c r="A8" s="26" t="inlineStr">
        <is>
          <t>Данные (PIPL)</t>
        </is>
      </c>
      <c r="B8" s="26" t="inlineStr">
        <is>
          <t>Геномные и персональные данные пациентов не покидают КНР: локальное размещение модели (облако КНР), обучение/дообучение на локальных данных; экспорт только агрегированных метрик</t>
        </is>
      </c>
    </row>
    <row r="9">
      <c r="A9" s="26" t="inlineStr">
        <is>
          <t>Команда</t>
        </is>
      </c>
      <c r="B9" s="26" t="inlineStr">
        <is>
          <t>2029: country manager + регуляторик; 2030: продажи/партнёрства (3–13 человек на старте)</t>
        </is>
      </c>
    </row>
    <row r="10" ht="28.8" customHeight="1" s="29">
      <c r="A10" s="26" t="inlineStr">
        <is>
          <t>Этапы</t>
        </is>
      </c>
      <c r="B10" s="26" t="inlineStr">
        <is>
          <t>2028 — gap-анализ NMPA, поиск партнёров; 2029 — регистрация WFOE, 1–3 пилотных партнёра, выручка ~14 млн ₽; 2030 — NMPA-файлинг/регистрация, 3–13 партнёров, выручка ~58 млн ₽</t>
        </is>
      </c>
    </row>
    <row r="11">
      <c r="A11" s="26" t="inlineStr">
        <is>
          <t>Выручка в модели</t>
        </is>
      </c>
      <c r="B11" s="26" t="inlineStr">
        <is>
          <t>2029: 14 млн ₽; 2030: 58 млн ₽ (лист «Выручка», строка «Международное направление»); далее драйвер роста пост-2030</t>
        </is>
      </c>
    </row>
    <row r="12" ht="28.8" customHeight="1" s="29">
      <c r="A12" s="26" t="inlineStr">
        <is>
          <t>Пайплайн АТР после Китая</t>
        </is>
      </c>
      <c r="B12" s="26" t="inlineStr">
        <is>
          <t>Индия (~546 тыс. циклов/год, отраслевые оценки), Япония, Южная Корея, Сингапур, Индонезия, Таиланд — приоритизация после отработки китайского play book</t>
        </is>
      </c>
    </row>
    <row r="13" ht="28.8" customHeight="1" s="29">
      <c r="A13" s="26" t="inlineStr">
        <is>
          <t>Риски</t>
        </is>
      </c>
      <c r="B13" s="26" t="inlineStr">
        <is>
          <t>Регуляторные задержки NMPA; геополитика; конкуренция локальных игроков; PIPL-требования; конвертация/репатриация прибыли (через HK/дивиденды)</t>
        </is>
      </c>
    </row>
    <row r="14">
      <c r="A14" s="26" t="inlineStr">
        <is>
          <t>Налоговая оптимизация</t>
        </is>
      </c>
      <c r="B14" s="26" t="inlineStr">
        <is>
          <t>Хайнань 28% КН; при двустороннем соглашении РФ-КНР — снижение удержания; реинвестирование в рост АТР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2026-10-11T05:08:18Z</dcterms:created>
  <dcterms:modified xmlns:dcterms="http://purl.org/dc/terms/" xmlns:xsi="http://www.w3.org/2001/XMLSchema-instance" xsi:type="dcterms:W3CDTF">2026-10-24T05:50:46Z</dcterms:modified>
  <cp:lastModifiedBy>User</cp:lastModifiedBy>
</cp:coreProperties>
</file>